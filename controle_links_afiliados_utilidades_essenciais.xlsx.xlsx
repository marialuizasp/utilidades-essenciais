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241319bf0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847d9423983c4aa4"/>
    <x:sheet xmlns:r="http://schemas.openxmlformats.org/officeDocument/2006/relationships" name="Afiliados" sheetId="2" r:id="R3d8f3a1e95b74c4a"/>
    <x:sheet xmlns:r="http://schemas.openxmlformats.org/officeDocument/2006/relationships" name="Historico" sheetId="3" r:id="R0945d524305243e4"/>
    <x:sheet xmlns:r="http://schemas.openxmlformats.org/officeDocument/2006/relationships" name="Como usar" sheetId="4" r:id="R4b8a4a379b0542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$ &quot;#,##0.00"/>
    <x:numFmt numFmtId="201" formatCode="dd/mm/yyyy hh:mm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5B6472"/>
      <x:name val="Carlito"/>
    </x:font>
    <x:font>
      <x:b/>
      <x:sz val="16"/>
      <x:color rgb="FF087E83"/>
      <x:name val="Carlito"/>
    </x:font>
    <x:font>
      <x:b/>
      <x:sz val="17"/>
      <x:color rgb="FFFFFFFF"/>
      <x:name val="Carlito"/>
    </x:font>
    <x:font>
      <x:b/>
      <x:sz val="11"/>
      <x:color rgb="FF17243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43A"/>
      </x:patternFill>
    </x:fill>
    <x:fill>
      <x:patternFill patternType="solid">
        <x:fgColor rgb="FFEAF5F3"/>
      </x:patternFill>
    </x:fill>
    <x:fill>
      <x:patternFill patternType="solid">
        <x:fgColor rgb="FF087E83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CE8E6"/>
        </x:patternFill>
      </x:fill>
    </x:dxf>
    <x:dxf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41f346772242be" /><Relationship Type="http://schemas.openxmlformats.org/officeDocument/2006/relationships/theme" Target="/xl/theme/theme1.xml" Id="R77aff91d94974440" /><Relationship Type="http://schemas.openxmlformats.org/officeDocument/2006/relationships/sharedStrings" Target="/xl/sharedStrings.xml" Id="Rcbe587416b3741c3" /><Relationship Type="http://schemas.openxmlformats.org/officeDocument/2006/relationships/worksheet" Target="/xl/worksheets/sheet1.xml" Id="R847d9423983c4aa4" /><Relationship Type="http://schemas.openxmlformats.org/officeDocument/2006/relationships/worksheet" Target="/xl/worksheets/sheet2.xml" Id="R3d8f3a1e95b74c4a" /><Relationship Type="http://schemas.openxmlformats.org/officeDocument/2006/relationships/worksheet" Target="/xl/worksheets/sheet3.xml" Id="R0945d524305243e4" /><Relationship Type="http://schemas.openxmlformats.org/officeDocument/2006/relationships/worksheet" Target="/xl/worksheets/sheet4.xml" Id="R4b8a4a379b0542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2" customHeight="1">
      <x:c r="A1" s="16" t="str">
        <x:v>UTILIDADES ESSENCIAIS | Controle de afiliados</x:v>
      </x:c>
      <x:c r="B1" s="16"/>
      <x:c r="C1" s="16"/>
      <x:c r="D1" s="16"/>
      <x:c r="E1" s="16"/>
      <x:c r="F1" s="16"/>
      <x:c r="G1" s="16"/>
    </x:row>
    <x:row r="2" ht="30" customHeight="1">
      <x:c r="A2" s="19" t="str">
        <x:v>Visão geral • preencha a aba Afiliados e registre verificações</x:v>
      </x:c>
      <x:c r="B2" s="19"/>
      <x:c r="C2" s="19"/>
      <x:c r="D2" s="19"/>
      <x:c r="E2" s="19"/>
      <x:c r="F2" s="19"/>
      <x:c r="G2" s="19"/>
    </x:row>
    <x:row r="3" ht="30" customHeight="1">
      <x:c r="A3" s="23" t="str">
        <x:v>Indicador</x:v>
      </x:c>
      <x:c r="B3" s="23" t="str">
        <x:v>Quantidade</x:v>
      </x:c>
      <x:c r="C3" s="23"/>
      <x:c r="D3" s="23" t="str">
        <x:v>Situação</x:v>
      </x:c>
      <x:c r="E3" s="23" t="str">
        <x:v>Quantidade</x:v>
      </x:c>
      <x:c r="F3" s="23"/>
      <x:c r="G3" s="23"/>
    </x:row>
    <x:row r="4" ht="35" customHeight="1">
      <x:c r="A4" t="str">
        <x:v>Produtos cadastrados</x:v>
      </x:c>
      <x:c r="B4" s="26" t="n">
        <x:f>COUNTA(Afiliados!B2:B102)</x:f>
        <x:v>1</x:v>
      </x:c>
      <x:c r="D4" t="str">
        <x:v>Anúncios indisponíveis</x:v>
      </x:c>
      <x:c r="E4" s="26" t="n">
        <x:f>COUNTIF(Afiliados!J2:J102,"Indisponível")</x:f>
        <x:v>0</x:v>
      </x:c>
    </x:row>
    <x:row r="5" ht="35" customHeight="1">
      <x:c r="A5" t="str">
        <x:v>Links funcionando</x:v>
      </x:c>
      <x:c r="B5" s="26" t="n">
        <x:f>COUNTIF(Afiliados!K2:K102,"Funcionando")</x:f>
        <x:v>0</x:v>
      </x:c>
      <x:c r="D5" t="str">
        <x:v>Links quebrados</x:v>
      </x:c>
      <x:c r="E5" s="26" t="n">
        <x:f>COUNTIF(Afiliados!K2:K102,"Quebrado")</x:f>
        <x:v>0</x:v>
      </x:c>
    </x:row>
    <x:row r="6" ht="35" customHeight="1">
      <x:c r="A6" t="str">
        <x:v>Anúncios disponíveis</x:v>
      </x:c>
      <x:c r="B6" s="26" t="n">
        <x:f>COUNTIF(Afiliados!J2:J102,"Disponível")</x:f>
        <x:v>0</x:v>
      </x:c>
      <x:c r="D6" t="str">
        <x:v>Preços aumentaram</x:v>
      </x:c>
      <x:c r="E6" s="26" t="n">
        <x:f>COUNTIF(Afiliados!L2:L102,"Aumentou")</x:f>
        <x:v>0</x:v>
      </x:c>
    </x:row>
    <x:row r="7" ht="35" customHeight="1">
      <x:c r="A7" t="str">
        <x:v>Aguardando verificação</x:v>
      </x:c>
      <x:c r="B7" s="26" t="n">
        <x:f>COUNTIF(Afiliados!P2:P102,"Verificar")</x:f>
        <x:v>1</x:v>
      </x:c>
      <x:c r="D7" t="str">
        <x:v>Ações urgentes</x:v>
      </x:c>
      <x:c r="E7" s="26" t="n">
        <x:f>COUNTIF(Afiliados!P2:P102,"URGENTE: revisar")</x:f>
        <x:v>0</x:v>
      </x:c>
    </x:row>
    <x:row r="9" ht="29" customHeight="1">
      <x:c r="A9" s="3" t="str">
        <x:v>PRÓXIMOS PASSOS</x:v>
      </x:c>
      <x:c r="B9" s="3"/>
      <x:c r="C9" s="3"/>
      <x:c r="D9" s="3"/>
      <x:c r="E9" s="3"/>
      <x:c r="F9" s="3"/>
      <x:c r="G9" s="3"/>
    </x:row>
    <x:row r="10">
      <x:c r="A10" t="str">
        <x:v>1. Preencha o link original do anúncio, se disponível.</x:v>
      </x:c>
    </x:row>
    <x:row r="11">
      <x:c r="A11" t="str">
        <x:v>2. Após checar, atualize status, preço e data na aba Afiliados.</x:v>
      </x:c>
    </x:row>
    <x:row r="12">
      <x:c r="A12" t="str">
        <x:v>3. Registre cada alteração na aba Historico.</x:v>
      </x:c>
    </x:row>
    <x:row r="13">
      <x:c r="A13" t="str">
        <x:v>4. Para checagem diária real, conecte uma rotina externa; Excel sozinho não consulta Shopee.</x:v>
      </x:c>
    </x:row>
  </x:sheetData>
  <x:mergeCells>
    <x:mergeCell ref="A1:G1"/>
    <x:mergeCell ref="A2:G2"/>
    <x:mergeCell ref="A9:G9"/>
    <x:mergeCell ref="A10:G10"/>
    <x:mergeCell ref="A11:G11"/>
    <x:mergeCell ref="A12:G12"/>
    <x:mergeCell ref="A13:G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15" hidden="0" customWidth="1"/>
    <x:col min="4" max="4" width="22" hidden="0" customWidth="1"/>
    <x:col min="5" max="5" width="42" hidden="0" customWidth="1"/>
    <x:col min="6" max="6" width="43" hidden="0" customWidth="1"/>
    <x:col min="7" max="7" width="48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0" hidden="0" customWidth="1"/>
    <x:col min="13" max="13" width="23" hidden="0" customWidth="1"/>
    <x:col min="14" max="14" width="23" hidden="0" customWidth="1"/>
    <x:col min="15" max="15" width="52" hidden="0" customWidth="1"/>
    <x:col min="16" max="16" width="25" hidden="0" customWidth="1"/>
  </x:cols>
  <x:sheetData>
    <x:row r="1" ht="38" customHeight="1">
      <x:c r="A1" s="5" t="str">
        <x:v>ID</x:v>
      </x:c>
      <x:c r="B1" s="5" t="str">
        <x:v>Produto</x:v>
      </x:c>
      <x:c r="C1" s="5" t="str">
        <x:v>Plataforma</x:v>
      </x:c>
      <x:c r="D1" s="5" t="str">
        <x:v>Categoria</x:v>
      </x:c>
      <x:c r="E1" s="5" t="str">
        <x:v>Link de afiliada</x:v>
      </x:c>
      <x:c r="F1" s="5" t="str">
        <x:v>Link do anúncio (original)</x:v>
      </x:c>
      <x:c r="G1" s="5" t="str">
        <x:v>Link do vídeo</x:v>
      </x:c>
      <x:c r="H1" s="5" t="str">
        <x:v>Preço cadastrado (R$)</x:v>
      </x:c>
      <x:c r="I1" s="5" t="str">
        <x:v>Preço verificado (R$)</x:v>
      </x:c>
      <x:c r="J1" s="5" t="str">
        <x:v>Status do anúncio</x:v>
      </x:c>
      <x:c r="K1" s="5" t="str">
        <x:v>Status do link</x:v>
      </x:c>
      <x:c r="L1" s="5" t="str">
        <x:v>Mudança de preço</x:v>
      </x:c>
      <x:c r="M1" s="5" t="str">
        <x:v>Última checagem</x:v>
      </x:c>
      <x:c r="N1" s="5" t="str">
        <x:v>Última alteração</x:v>
      </x:c>
      <x:c r="O1" s="5" t="str">
        <x:v>Observações</x:v>
      </x:c>
      <x:c r="P1" s="5" t="str">
        <x:v>Ação necessária</x:v>
      </x:c>
    </x:row>
    <x:row r="2" ht="29" customHeight="1">
      <x:c r="A2" t="str">
        <x:v>prod_001</x:v>
      </x:c>
      <x:c r="B2" s="14" t="str">
        <x:v>Lavadora de Alta Pressão Bivolt Portátil Profissional Sem Fio Recarregável Original</x:v>
      </x:c>
      <x:c r="C2" s="14" t="str">
        <x:v>Shopee</x:v>
      </x:c>
      <x:c r="D2" s="14" t="str">
        <x:v>Casa e Cozinha</x:v>
      </x:c>
      <x:c r="E2" s="14" t="str">
        <x:v>https://s.shopee.com.br/W6plju24t</x:v>
      </x:c>
      <x:c r="F2" s="14" t="str"/>
      <x:c r="G2" s="14" t="str">
        <x:v>https://bjdcjttjwsmbbytqwvzm.supabase.co/storage/v1/object/public/videos/lavadora-alta-pressao.mp4.mp4</x:v>
      </x:c>
      <x:c r="H2" s="10" t="n">
        <x:v>94.05</x:v>
      </x:c>
      <x:c r="I2" s="10"/>
      <x:c r="J2" t="str">
        <x:v>Não verificado</x:v>
      </x:c>
      <x:c r="K2" t="str">
        <x:v>Não verificado</x:v>
      </x:c>
      <x:c r="L2" t="str">
        <x:f>IF(OR(H2="",I2=""),"Não verificado",IF(I2=H2,"Sem mudança",IF(I2&gt;H2,"Aumentou","Diminuiu")))</x:f>
        <x:v>Não verificado</x:v>
      </x:c>
      <x:c r="M2" s="12"/>
      <x:c r="N2" s="12"/>
      <x:c r="O2" s="14" t="str">
        <x:v>Primeiro produto; conferir URL original do anúncio e preço atual</x:v>
      </x:c>
      <x:c r="P2" t="str">
        <x:f>IF(OR(J2="Indisponível",K2="Quebrado"),"URGENTE: revisar",IF(OR(J2="Não verificado",K2="Não verificado"),"Verificar",IF(L2="Aumentou","Revisar preço","OK")))</x:f>
        <x:v>Verificar</x:v>
      </x:c>
    </x:row>
    <x:row r="3" ht="29" customHeight="1">
      <x:c r="B3" s="14"/>
      <x:c r="C3" s="14"/>
      <x:c r="D3" s="14"/>
      <x:c r="E3" s="14"/>
      <x:c r="F3" s="14"/>
      <x:c r="G3" s="14"/>
      <x:c r="H3" s="10"/>
      <x:c r="I3" s="10"/>
      <x:c r="L3" t="str">
        <x:f>IF(B3="","",IF(OR(H3="",I3=""),"Não verificado",IF(I3=H3,"Sem mudança",IF(I3&gt;H3,"Aumentou","Diminuiu"))))</x:f>
      </x:c>
      <x:c r="M3" s="12"/>
      <x:c r="N3" s="12"/>
      <x:c r="O3" s="14"/>
      <x:c r="P3" t="str">
        <x:f>IF(B3="","",IF(OR(J3="Indisponível",K3="Quebrado"),"URGENTE: revisar",IF(OR(J3="Não verificado",K3="Não verificado"),"Verificar",IF(L3="Aumentou","Revisar preço","OK"))))</x:f>
      </x:c>
    </x:row>
    <x:row r="4" ht="29" customHeight="1">
      <x:c r="B4" s="14"/>
      <x:c r="C4" s="14"/>
      <x:c r="D4" s="14"/>
      <x:c r="E4" s="14"/>
      <x:c r="F4" s="14"/>
      <x:c r="G4" s="14"/>
      <x:c r="H4" s="10"/>
      <x:c r="I4" s="10"/>
      <x:c r="L4" t="str">
        <x:f>IF(B4="","",IF(OR(H4="",I4=""),"Não verificado",IF(I4=H4,"Sem mudança",IF(I4&gt;H4,"Aumentou","Diminuiu"))))</x:f>
      </x:c>
      <x:c r="M4" s="12"/>
      <x:c r="N4" s="12"/>
      <x:c r="O4" s="14"/>
      <x:c r="P4" t="str">
        <x:f>IF(B4="","",IF(OR(J4="Indisponível",K4="Quebrado"),"URGENTE: revisar",IF(OR(J4="Não verificado",K4="Não verificado"),"Verificar",IF(L4="Aumentou","Revisar preço","OK"))))</x:f>
      </x:c>
    </x:row>
    <x:row r="5" ht="29" customHeight="1">
      <x:c r="B5" s="14"/>
      <x:c r="C5" s="14"/>
      <x:c r="D5" s="14"/>
      <x:c r="E5" s="14"/>
      <x:c r="F5" s="14"/>
      <x:c r="G5" s="14"/>
      <x:c r="H5" s="10"/>
      <x:c r="I5" s="10"/>
      <x:c r="L5" t="str">
        <x:f>IF(B5="","",IF(OR(H5="",I5=""),"Não verificado",IF(I5=H5,"Sem mudança",IF(I5&gt;H5,"Aumentou","Diminuiu"))))</x:f>
      </x:c>
      <x:c r="M5" s="12"/>
      <x:c r="N5" s="12"/>
      <x:c r="O5" s="14"/>
      <x:c r="P5" t="str">
        <x:f>IF(B5="","",IF(OR(J5="Indisponível",K5="Quebrado"),"URGENTE: revisar",IF(OR(J5="Não verificado",K5="Não verificado"),"Verificar",IF(L5="Aumentou","Revisar preço","OK"))))</x:f>
      </x:c>
    </x:row>
    <x:row r="6" ht="29" customHeight="1">
      <x:c r="B6" s="14"/>
      <x:c r="C6" s="14"/>
      <x:c r="D6" s="14"/>
      <x:c r="E6" s="14"/>
      <x:c r="F6" s="14"/>
      <x:c r="G6" s="14"/>
      <x:c r="H6" s="10"/>
      <x:c r="I6" s="10"/>
      <x:c r="L6" t="str">
        <x:f>IF(B6="","",IF(OR(H6="",I6=""),"Não verificado",IF(I6=H6,"Sem mudança",IF(I6&gt;H6,"Aumentou","Diminuiu"))))</x:f>
      </x:c>
      <x:c r="M6" s="12"/>
      <x:c r="N6" s="12"/>
      <x:c r="O6" s="14"/>
      <x:c r="P6" t="str">
        <x:f>IF(B6="","",IF(OR(J6="Indisponível",K6="Quebrado"),"URGENTE: revisar",IF(OR(J6="Não verificado",K6="Não verificado"),"Verificar",IF(L6="Aumentou","Revisar preço","OK"))))</x:f>
      </x:c>
    </x:row>
    <x:row r="7" ht="29" customHeight="1">
      <x:c r="B7" s="14"/>
      <x:c r="C7" s="14"/>
      <x:c r="D7" s="14"/>
      <x:c r="E7" s="14"/>
      <x:c r="F7" s="14"/>
      <x:c r="G7" s="14"/>
      <x:c r="H7" s="10"/>
      <x:c r="I7" s="10"/>
      <x:c r="L7" t="str">
        <x:f>IF(B7="","",IF(OR(H7="",I7=""),"Não verificado",IF(I7=H7,"Sem mudança",IF(I7&gt;H7,"Aumentou","Diminuiu"))))</x:f>
      </x:c>
      <x:c r="M7" s="12"/>
      <x:c r="N7" s="12"/>
      <x:c r="O7" s="14"/>
      <x:c r="P7" t="str">
        <x:f>IF(B7="","",IF(OR(J7="Indisponível",K7="Quebrado"),"URGENTE: revisar",IF(OR(J7="Não verificado",K7="Não verificado"),"Verificar",IF(L7="Aumentou","Revisar preço","OK"))))</x:f>
      </x:c>
    </x:row>
    <x:row r="8" ht="29" customHeight="1">
      <x:c r="B8" s="14"/>
      <x:c r="C8" s="14"/>
      <x:c r="D8" s="14"/>
      <x:c r="E8" s="14"/>
      <x:c r="F8" s="14"/>
      <x:c r="G8" s="14"/>
      <x:c r="H8" s="10"/>
      <x:c r="I8" s="10"/>
      <x:c r="L8" t="str">
        <x:f>IF(B8="","",IF(OR(H8="",I8=""),"Não verificado",IF(I8=H8,"Sem mudança",IF(I8&gt;H8,"Aumentou","Diminuiu"))))</x:f>
      </x:c>
      <x:c r="M8" s="12"/>
      <x:c r="N8" s="12"/>
      <x:c r="O8" s="14"/>
      <x:c r="P8" t="str">
        <x:f>IF(B8="","",IF(OR(J8="Indisponível",K8="Quebrado"),"URGENTE: revisar",IF(OR(J8="Não verificado",K8="Não verificado"),"Verificar",IF(L8="Aumentou","Revisar preço","OK"))))</x:f>
      </x:c>
    </x:row>
    <x:row r="9" ht="29" customHeight="1">
      <x:c r="B9" s="14"/>
      <x:c r="C9" s="14"/>
      <x:c r="D9" s="14"/>
      <x:c r="E9" s="14"/>
      <x:c r="F9" s="14"/>
      <x:c r="G9" s="14"/>
      <x:c r="H9" s="10"/>
      <x:c r="I9" s="10"/>
      <x:c r="L9" t="str">
        <x:f>IF(B9="","",IF(OR(H9="",I9=""),"Não verificado",IF(I9=H9,"Sem mudança",IF(I9&gt;H9,"Aumentou","Diminuiu"))))</x:f>
      </x:c>
      <x:c r="M9" s="12"/>
      <x:c r="N9" s="12"/>
      <x:c r="O9" s="14"/>
      <x:c r="P9" t="str">
        <x:f>IF(B9="","",IF(OR(J9="Indisponível",K9="Quebrado"),"URGENTE: revisar",IF(OR(J9="Não verificado",K9="Não verificado"),"Verificar",IF(L9="Aumentou","Revisar preço","OK"))))</x:f>
      </x:c>
    </x:row>
    <x:row r="10" ht="29" customHeight="1">
      <x:c r="B10" s="14"/>
      <x:c r="C10" s="14"/>
      <x:c r="D10" s="14"/>
      <x:c r="E10" s="14"/>
      <x:c r="F10" s="14"/>
      <x:c r="G10" s="14"/>
      <x:c r="H10" s="10"/>
      <x:c r="I10" s="10"/>
      <x:c r="L10" t="str">
        <x:f>IF(B10="","",IF(OR(H10="",I10=""),"Não verificado",IF(I10=H10,"Sem mudança",IF(I10&gt;H10,"Aumentou","Diminuiu"))))</x:f>
      </x:c>
      <x:c r="M10" s="12"/>
      <x:c r="N10" s="12"/>
      <x:c r="O10" s="14"/>
      <x:c r="P10" t="str">
        <x:f>IF(B10="","",IF(OR(J10="Indisponível",K10="Quebrado"),"URGENTE: revisar",IF(OR(J10="Não verificado",K10="Não verificado"),"Verificar",IF(L10="Aumentou","Revisar preço","OK"))))</x:f>
      </x:c>
    </x:row>
    <x:row r="11" ht="29" customHeight="1">
      <x:c r="B11" s="14"/>
      <x:c r="C11" s="14"/>
      <x:c r="D11" s="14"/>
      <x:c r="E11" s="14"/>
      <x:c r="F11" s="14"/>
      <x:c r="G11" s="14"/>
      <x:c r="H11" s="10"/>
      <x:c r="I11" s="10"/>
      <x:c r="L11" t="str">
        <x:f>IF(B11="","",IF(OR(H11="",I11=""),"Não verificado",IF(I11=H11,"Sem mudança",IF(I11&gt;H11,"Aumentou","Diminuiu"))))</x:f>
      </x:c>
      <x:c r="M11" s="12"/>
      <x:c r="N11" s="12"/>
      <x:c r="O11" s="14"/>
      <x:c r="P11" t="str">
        <x:f>IF(B11="","",IF(OR(J11="Indisponível",K11="Quebrado"),"URGENTE: revisar",IF(OR(J11="Não verificado",K11="Não verificado"),"Verificar",IF(L11="Aumentou","Revisar preço","OK"))))</x:f>
      </x:c>
    </x:row>
    <x:row r="12" ht="29" customHeight="1">
      <x:c r="B12" s="14"/>
      <x:c r="C12" s="14"/>
      <x:c r="D12" s="14"/>
      <x:c r="E12" s="14"/>
      <x:c r="F12" s="14"/>
      <x:c r="G12" s="14"/>
      <x:c r="H12" s="10"/>
      <x:c r="I12" s="10"/>
      <x:c r="L12" t="str">
        <x:f>IF(B12="","",IF(OR(H12="",I12=""),"Não verificado",IF(I12=H12,"Sem mudança",IF(I12&gt;H12,"Aumentou","Diminuiu"))))</x:f>
      </x:c>
      <x:c r="M12" s="12"/>
      <x:c r="N12" s="12"/>
      <x:c r="O12" s="14"/>
      <x:c r="P12" t="str">
        <x:f>IF(B12="","",IF(OR(J12="Indisponível",K12="Quebrado"),"URGENTE: revisar",IF(OR(J12="Não verificado",K12="Não verificado"),"Verificar",IF(L12="Aumentou","Revisar preço","OK"))))</x:f>
      </x:c>
    </x:row>
    <x:row r="13" ht="29" customHeight="1">
      <x:c r="B13" s="14"/>
      <x:c r="C13" s="14"/>
      <x:c r="D13" s="14"/>
      <x:c r="E13" s="14"/>
      <x:c r="F13" s="14"/>
      <x:c r="G13" s="14"/>
      <x:c r="H13" s="10"/>
      <x:c r="I13" s="10"/>
      <x:c r="L13" t="str">
        <x:f>IF(B13="","",IF(OR(H13="",I13=""),"Não verificado",IF(I13=H13,"Sem mudança",IF(I13&gt;H13,"Aumentou","Diminuiu"))))</x:f>
      </x:c>
      <x:c r="M13" s="12"/>
      <x:c r="N13" s="12"/>
      <x:c r="O13" s="14"/>
      <x:c r="P13" t="str">
        <x:f>IF(B13="","",IF(OR(J13="Indisponível",K13="Quebrado"),"URGENTE: revisar",IF(OR(J13="Não verificado",K13="Não verificado"),"Verificar",IF(L13="Aumentou","Revisar preço","OK"))))</x:f>
      </x:c>
    </x:row>
    <x:row r="14" ht="29" customHeight="1">
      <x:c r="B14" s="14"/>
      <x:c r="C14" s="14"/>
      <x:c r="D14" s="14"/>
      <x:c r="E14" s="14"/>
      <x:c r="F14" s="14"/>
      <x:c r="G14" s="14"/>
      <x:c r="H14" s="10"/>
      <x:c r="I14" s="10"/>
      <x:c r="L14" t="str">
        <x:f>IF(B14="","",IF(OR(H14="",I14=""),"Não verificado",IF(I14=H14,"Sem mudança",IF(I14&gt;H14,"Aumentou","Diminuiu"))))</x:f>
      </x:c>
      <x:c r="M14" s="12"/>
      <x:c r="N14" s="12"/>
      <x:c r="O14" s="14"/>
      <x:c r="P14" t="str">
        <x:f>IF(B14="","",IF(OR(J14="Indisponível",K14="Quebrado"),"URGENTE: revisar",IF(OR(J14="Não verificado",K14="Não verificado"),"Verificar",IF(L14="Aumentou","Revisar preço","OK"))))</x:f>
      </x:c>
    </x:row>
    <x:row r="15" ht="29" customHeight="1">
      <x:c r="B15" s="14"/>
      <x:c r="C15" s="14"/>
      <x:c r="D15" s="14"/>
      <x:c r="E15" s="14"/>
      <x:c r="F15" s="14"/>
      <x:c r="G15" s="14"/>
      <x:c r="H15" s="10"/>
      <x:c r="I15" s="10"/>
      <x:c r="L15" t="str">
        <x:f>IF(B15="","",IF(OR(H15="",I15=""),"Não verificado",IF(I15=H15,"Sem mudança",IF(I15&gt;H15,"Aumentou","Diminuiu"))))</x:f>
      </x:c>
      <x:c r="M15" s="12"/>
      <x:c r="N15" s="12"/>
      <x:c r="O15" s="14"/>
      <x:c r="P15" t="str">
        <x:f>IF(B15="","",IF(OR(J15="Indisponível",K15="Quebrado"),"URGENTE: revisar",IF(OR(J15="Não verificado",K15="Não verificado"),"Verificar",IF(L15="Aumentou","Revisar preço","OK"))))</x:f>
      </x:c>
    </x:row>
    <x:row r="16" ht="29" customHeight="1">
      <x:c r="B16" s="14"/>
      <x:c r="C16" s="14"/>
      <x:c r="D16" s="14"/>
      <x:c r="E16" s="14"/>
      <x:c r="F16" s="14"/>
      <x:c r="G16" s="14"/>
      <x:c r="H16" s="10"/>
      <x:c r="I16" s="10"/>
      <x:c r="L16" t="str">
        <x:f>IF(B16="","",IF(OR(H16="",I16=""),"Não verificado",IF(I16=H16,"Sem mudança",IF(I16&gt;H16,"Aumentou","Diminuiu"))))</x:f>
      </x:c>
      <x:c r="M16" s="12"/>
      <x:c r="N16" s="12"/>
      <x:c r="O16" s="14"/>
      <x:c r="P16" t="str">
        <x:f>IF(B16="","",IF(OR(J16="Indisponível",K16="Quebrado"),"URGENTE: revisar",IF(OR(J16="Não verificado",K16="Não verificado"),"Verificar",IF(L16="Aumentou","Revisar preço","OK"))))</x:f>
      </x:c>
    </x:row>
    <x:row r="17" ht="29" customHeight="1">
      <x:c r="B17" s="14"/>
      <x:c r="C17" s="14"/>
      <x:c r="D17" s="14"/>
      <x:c r="E17" s="14"/>
      <x:c r="F17" s="14"/>
      <x:c r="G17" s="14"/>
      <x:c r="H17" s="10"/>
      <x:c r="I17" s="10"/>
      <x:c r="L17" t="str">
        <x:f>IF(B17="","",IF(OR(H17="",I17=""),"Não verificado",IF(I17=H17,"Sem mudança",IF(I17&gt;H17,"Aumentou","Diminuiu"))))</x:f>
      </x:c>
      <x:c r="M17" s="12"/>
      <x:c r="N17" s="12"/>
      <x:c r="O17" s="14"/>
      <x:c r="P17" t="str">
        <x:f>IF(B17="","",IF(OR(J17="Indisponível",K17="Quebrado"),"URGENTE: revisar",IF(OR(J17="Não verificado",K17="Não verificado"),"Verificar",IF(L17="Aumentou","Revisar preço","OK"))))</x:f>
      </x:c>
    </x:row>
    <x:row r="18" ht="29" customHeight="1">
      <x:c r="B18" s="14"/>
      <x:c r="C18" s="14"/>
      <x:c r="D18" s="14"/>
      <x:c r="E18" s="14"/>
      <x:c r="F18" s="14"/>
      <x:c r="G18" s="14"/>
      <x:c r="H18" s="10"/>
      <x:c r="I18" s="10"/>
      <x:c r="L18" t="str">
        <x:f>IF(B18="","",IF(OR(H18="",I18=""),"Não verificado",IF(I18=H18,"Sem mudança",IF(I18&gt;H18,"Aumentou","Diminuiu"))))</x:f>
      </x:c>
      <x:c r="M18" s="12"/>
      <x:c r="N18" s="12"/>
      <x:c r="O18" s="14"/>
      <x:c r="P18" t="str">
        <x:f>IF(B18="","",IF(OR(J18="Indisponível",K18="Quebrado"),"URGENTE: revisar",IF(OR(J18="Não verificado",K18="Não verificado"),"Verificar",IF(L18="Aumentou","Revisar preço","OK"))))</x:f>
      </x:c>
    </x:row>
    <x:row r="19" ht="29" customHeight="1">
      <x:c r="B19" s="14"/>
      <x:c r="C19" s="14"/>
      <x:c r="D19" s="14"/>
      <x:c r="E19" s="14"/>
      <x:c r="F19" s="14"/>
      <x:c r="G19" s="14"/>
      <x:c r="H19" s="10"/>
      <x:c r="I19" s="10"/>
      <x:c r="L19" t="str">
        <x:f>IF(B19="","",IF(OR(H19="",I19=""),"Não verificado",IF(I19=H19,"Sem mudança",IF(I19&gt;H19,"Aumentou","Diminuiu"))))</x:f>
      </x:c>
      <x:c r="M19" s="12"/>
      <x:c r="N19" s="12"/>
      <x:c r="O19" s="14"/>
      <x:c r="P19" t="str">
        <x:f>IF(B19="","",IF(OR(J19="Indisponível",K19="Quebrado"),"URGENTE: revisar",IF(OR(J19="Não verificado",K19="Não verificado"),"Verificar",IF(L19="Aumentou","Revisar preço","OK"))))</x:f>
      </x:c>
    </x:row>
    <x:row r="20" ht="29" customHeight="1">
      <x:c r="B20" s="14"/>
      <x:c r="C20" s="14"/>
      <x:c r="D20" s="14"/>
      <x:c r="E20" s="14"/>
      <x:c r="F20" s="14"/>
      <x:c r="G20" s="14"/>
      <x:c r="H20" s="10"/>
      <x:c r="I20" s="10"/>
      <x:c r="L20" t="str">
        <x:f>IF(B20="","",IF(OR(H20="",I20=""),"Não verificado",IF(I20=H20,"Sem mudança",IF(I20&gt;H20,"Aumentou","Diminuiu"))))</x:f>
      </x:c>
      <x:c r="M20" s="12"/>
      <x:c r="N20" s="12"/>
      <x:c r="O20" s="14"/>
      <x:c r="P20" t="str">
        <x:f>IF(B20="","",IF(OR(J20="Indisponível",K20="Quebrado"),"URGENTE: revisar",IF(OR(J20="Não verificado",K20="Não verificado"),"Verificar",IF(L20="Aumentou","Revisar preço","OK"))))</x:f>
      </x:c>
    </x:row>
    <x:row r="21" ht="29" customHeight="1">
      <x:c r="B21" s="14"/>
      <x:c r="C21" s="14"/>
      <x:c r="D21" s="14"/>
      <x:c r="E21" s="14"/>
      <x:c r="F21" s="14"/>
      <x:c r="G21" s="14"/>
      <x:c r="H21" s="10"/>
      <x:c r="I21" s="10"/>
      <x:c r="L21" t="str">
        <x:f>IF(B21="","",IF(OR(H21="",I21=""),"Não verificado",IF(I21=H21,"Sem mudança",IF(I21&gt;H21,"Aumentou","Diminuiu"))))</x:f>
      </x:c>
      <x:c r="M21" s="12"/>
      <x:c r="N21" s="12"/>
      <x:c r="O21" s="14"/>
      <x:c r="P21" t="str">
        <x:f>IF(B21="","",IF(OR(J21="Indisponível",K21="Quebrado"),"URGENTE: revisar",IF(OR(J21="Não verificado",K21="Não verificado"),"Verificar",IF(L21="Aumentou","Revisar preço","OK"))))</x:f>
      </x:c>
    </x:row>
    <x:row r="22" ht="29" customHeight="1">
      <x:c r="B22" s="14"/>
      <x:c r="C22" s="14"/>
      <x:c r="D22" s="14"/>
      <x:c r="E22" s="14"/>
      <x:c r="F22" s="14"/>
      <x:c r="G22" s="14"/>
      <x:c r="H22" s="10"/>
      <x:c r="I22" s="10"/>
      <x:c r="L22" t="str">
        <x:f>IF(B22="","",IF(OR(H22="",I22=""),"Não verificado",IF(I22=H22,"Sem mudança",IF(I22&gt;H22,"Aumentou","Diminuiu"))))</x:f>
      </x:c>
      <x:c r="M22" s="12"/>
      <x:c r="N22" s="12"/>
      <x:c r="O22" s="14"/>
      <x:c r="P22" t="str">
        <x:f>IF(B22="","",IF(OR(J22="Indisponível",K22="Quebrado"),"URGENTE: revisar",IF(OR(J22="Não verificado",K22="Não verificado"),"Verificar",IF(L22="Aumentou","Revisar preço","OK"))))</x:f>
      </x:c>
    </x:row>
    <x:row r="23" ht="29" customHeight="1">
      <x:c r="B23" s="14"/>
      <x:c r="C23" s="14"/>
      <x:c r="D23" s="14"/>
      <x:c r="E23" s="14"/>
      <x:c r="F23" s="14"/>
      <x:c r="G23" s="14"/>
      <x:c r="H23" s="10"/>
      <x:c r="I23" s="10"/>
      <x:c r="L23" t="str">
        <x:f>IF(B23="","",IF(OR(H23="",I23=""),"Não verificado",IF(I23=H23,"Sem mudança",IF(I23&gt;H23,"Aumentou","Diminuiu"))))</x:f>
      </x:c>
      <x:c r="M23" s="12"/>
      <x:c r="N23" s="12"/>
      <x:c r="O23" s="14"/>
      <x:c r="P23" t="str">
        <x:f>IF(B23="","",IF(OR(J23="Indisponível",K23="Quebrado"),"URGENTE: revisar",IF(OR(J23="Não verificado",K23="Não verificado"),"Verificar",IF(L23="Aumentou","Revisar preço","OK"))))</x:f>
      </x:c>
    </x:row>
    <x:row r="24" ht="29" customHeight="1">
      <x:c r="B24" s="14"/>
      <x:c r="C24" s="14"/>
      <x:c r="D24" s="14"/>
      <x:c r="E24" s="14"/>
      <x:c r="F24" s="14"/>
      <x:c r="G24" s="14"/>
      <x:c r="H24" s="10"/>
      <x:c r="I24" s="10"/>
      <x:c r="L24" t="str">
        <x:f>IF(B24="","",IF(OR(H24="",I24=""),"Não verificado",IF(I24=H24,"Sem mudança",IF(I24&gt;H24,"Aumentou","Diminuiu"))))</x:f>
      </x:c>
      <x:c r="M24" s="12"/>
      <x:c r="N24" s="12"/>
      <x:c r="O24" s="14"/>
      <x:c r="P24" t="str">
        <x:f>IF(B24="","",IF(OR(J24="Indisponível",K24="Quebrado"),"URGENTE: revisar",IF(OR(J24="Não verificado",K24="Não verificado"),"Verificar",IF(L24="Aumentou","Revisar preço","OK"))))</x:f>
      </x:c>
    </x:row>
    <x:row r="25" ht="29" customHeight="1">
      <x:c r="B25" s="14"/>
      <x:c r="C25" s="14"/>
      <x:c r="D25" s="14"/>
      <x:c r="E25" s="14"/>
      <x:c r="F25" s="14"/>
      <x:c r="G25" s="14"/>
      <x:c r="H25" s="10"/>
      <x:c r="I25" s="10"/>
      <x:c r="L25" t="str">
        <x:f>IF(B25="","",IF(OR(H25="",I25=""),"Não verificado",IF(I25=H25,"Sem mudança",IF(I25&gt;H25,"Aumentou","Diminuiu"))))</x:f>
      </x:c>
      <x:c r="M25" s="12"/>
      <x:c r="N25" s="12"/>
      <x:c r="O25" s="14"/>
      <x:c r="P25" t="str">
        <x:f>IF(B25="","",IF(OR(J25="Indisponível",K25="Quebrado"),"URGENTE: revisar",IF(OR(J25="Não verificado",K25="Não verificado"),"Verificar",IF(L25="Aumentou","Revisar preço","OK"))))</x:f>
      </x:c>
    </x:row>
    <x:row r="26" ht="29" customHeight="1">
      <x:c r="B26" s="14"/>
      <x:c r="C26" s="14"/>
      <x:c r="D26" s="14"/>
      <x:c r="E26" s="14"/>
      <x:c r="F26" s="14"/>
      <x:c r="G26" s="14"/>
      <x:c r="H26" s="10"/>
      <x:c r="I26" s="10"/>
      <x:c r="L26" t="str">
        <x:f>IF(B26="","",IF(OR(H26="",I26=""),"Não verificado",IF(I26=H26,"Sem mudança",IF(I26&gt;H26,"Aumentou","Diminuiu"))))</x:f>
      </x:c>
      <x:c r="M26" s="12"/>
      <x:c r="N26" s="12"/>
      <x:c r="O26" s="14"/>
      <x:c r="P26" t="str">
        <x:f>IF(B26="","",IF(OR(J26="Indisponível",K26="Quebrado"),"URGENTE: revisar",IF(OR(J26="Não verificado",K26="Não verificado"),"Verificar",IF(L26="Aumentou","Revisar preço","OK"))))</x:f>
      </x:c>
    </x:row>
    <x:row r="27" ht="29" customHeight="1">
      <x:c r="B27" s="14"/>
      <x:c r="C27" s="14"/>
      <x:c r="D27" s="14"/>
      <x:c r="E27" s="14"/>
      <x:c r="F27" s="14"/>
      <x:c r="G27" s="14"/>
      <x:c r="H27" s="10"/>
      <x:c r="I27" s="10"/>
      <x:c r="L27" t="str">
        <x:f>IF(B27="","",IF(OR(H27="",I27=""),"Não verificado",IF(I27=H27,"Sem mudança",IF(I27&gt;H27,"Aumentou","Diminuiu"))))</x:f>
      </x:c>
      <x:c r="M27" s="12"/>
      <x:c r="N27" s="12"/>
      <x:c r="O27" s="14"/>
      <x:c r="P27" t="str">
        <x:f>IF(B27="","",IF(OR(J27="Indisponível",K27="Quebrado"),"URGENTE: revisar",IF(OR(J27="Não verificado",K27="Não verificado"),"Verificar",IF(L27="Aumentou","Revisar preço","OK"))))</x:f>
      </x:c>
    </x:row>
    <x:row r="28" ht="29" customHeight="1">
      <x:c r="B28" s="14"/>
      <x:c r="C28" s="14"/>
      <x:c r="D28" s="14"/>
      <x:c r="E28" s="14"/>
      <x:c r="F28" s="14"/>
      <x:c r="G28" s="14"/>
      <x:c r="H28" s="10"/>
      <x:c r="I28" s="10"/>
      <x:c r="L28" t="str">
        <x:f>IF(B28="","",IF(OR(H28="",I28=""),"Não verificado",IF(I28=H28,"Sem mudança",IF(I28&gt;H28,"Aumentou","Diminuiu"))))</x:f>
      </x:c>
      <x:c r="M28" s="12"/>
      <x:c r="N28" s="12"/>
      <x:c r="O28" s="14"/>
      <x:c r="P28" t="str">
        <x:f>IF(B28="","",IF(OR(J28="Indisponível",K28="Quebrado"),"URGENTE: revisar",IF(OR(J28="Não verificado",K28="Não verificado"),"Verificar",IF(L28="Aumentou","Revisar preço","OK"))))</x:f>
      </x:c>
    </x:row>
    <x:row r="29" ht="29" customHeight="1">
      <x:c r="B29" s="14"/>
      <x:c r="C29" s="14"/>
      <x:c r="D29" s="14"/>
      <x:c r="E29" s="14"/>
      <x:c r="F29" s="14"/>
      <x:c r="G29" s="14"/>
      <x:c r="H29" s="10"/>
      <x:c r="I29" s="10"/>
      <x:c r="L29" t="str">
        <x:f>IF(B29="","",IF(OR(H29="",I29=""),"Não verificado",IF(I29=H29,"Sem mudança",IF(I29&gt;H29,"Aumentou","Diminuiu"))))</x:f>
      </x:c>
      <x:c r="M29" s="12"/>
      <x:c r="N29" s="12"/>
      <x:c r="O29" s="14"/>
      <x:c r="P29" t="str">
        <x:f>IF(B29="","",IF(OR(J29="Indisponível",K29="Quebrado"),"URGENTE: revisar",IF(OR(J29="Não verificado",K29="Não verificado"),"Verificar",IF(L29="Aumentou","Revisar preço","OK"))))</x:f>
      </x:c>
    </x:row>
    <x:row r="30" ht="29" customHeight="1">
      <x:c r="B30" s="14"/>
      <x:c r="C30" s="14"/>
      <x:c r="D30" s="14"/>
      <x:c r="E30" s="14"/>
      <x:c r="F30" s="14"/>
      <x:c r="G30" s="14"/>
      <x:c r="H30" s="10"/>
      <x:c r="I30" s="10"/>
      <x:c r="L30" t="str">
        <x:f>IF(B30="","",IF(OR(H30="",I30=""),"Não verificado",IF(I30=H30,"Sem mudança",IF(I30&gt;H30,"Aumentou","Diminuiu"))))</x:f>
      </x:c>
      <x:c r="M30" s="12"/>
      <x:c r="N30" s="12"/>
      <x:c r="O30" s="14"/>
      <x:c r="P30" t="str">
        <x:f>IF(B30="","",IF(OR(J30="Indisponível",K30="Quebrado"),"URGENTE: revisar",IF(OR(J30="Não verificado",K30="Não verificado"),"Verificar",IF(L30="Aumentou","Revisar preço","OK"))))</x:f>
      </x:c>
    </x:row>
    <x:row r="31" ht="29" customHeight="1">
      <x:c r="B31" s="14"/>
      <x:c r="C31" s="14"/>
      <x:c r="D31" s="14"/>
      <x:c r="E31" s="14"/>
      <x:c r="F31" s="14"/>
      <x:c r="G31" s="14"/>
      <x:c r="H31" s="10"/>
      <x:c r="I31" s="10"/>
      <x:c r="L31" t="str">
        <x:f>IF(B31="","",IF(OR(H31="",I31=""),"Não verificado",IF(I31=H31,"Sem mudança",IF(I31&gt;H31,"Aumentou","Diminuiu"))))</x:f>
      </x:c>
      <x:c r="M31" s="12"/>
      <x:c r="N31" s="12"/>
      <x:c r="O31" s="14"/>
      <x:c r="P31" t="str">
        <x:f>IF(B31="","",IF(OR(J31="Indisponível",K31="Quebrado"),"URGENTE: revisar",IF(OR(J31="Não verificado",K31="Não verificado"),"Verificar",IF(L31="Aumentou","Revisar preço","OK"))))</x:f>
      </x:c>
    </x:row>
    <x:row r="32" ht="29" customHeight="1">
      <x:c r="B32" s="14"/>
      <x:c r="C32" s="14"/>
      <x:c r="D32" s="14"/>
      <x:c r="E32" s="14"/>
      <x:c r="F32" s="14"/>
      <x:c r="G32" s="14"/>
      <x:c r="H32" s="10"/>
      <x:c r="I32" s="10"/>
      <x:c r="L32" t="str">
        <x:f>IF(B32="","",IF(OR(H32="",I32=""),"Não verificado",IF(I32=H32,"Sem mudança",IF(I32&gt;H32,"Aumentou","Diminuiu"))))</x:f>
      </x:c>
      <x:c r="M32" s="12"/>
      <x:c r="N32" s="12"/>
      <x:c r="O32" s="14"/>
      <x:c r="P32" t="str">
        <x:f>IF(B32="","",IF(OR(J32="Indisponível",K32="Quebrado"),"URGENTE: revisar",IF(OR(J32="Não verificado",K32="Não verificado"),"Verificar",IF(L32="Aumentou","Revisar preço","OK"))))</x:f>
      </x:c>
    </x:row>
    <x:row r="33" ht="29" customHeight="1">
      <x:c r="B33" s="14"/>
      <x:c r="C33" s="14"/>
      <x:c r="D33" s="14"/>
      <x:c r="E33" s="14"/>
      <x:c r="F33" s="14"/>
      <x:c r="G33" s="14"/>
      <x:c r="H33" s="10"/>
      <x:c r="I33" s="10"/>
      <x:c r="L33" t="str">
        <x:f>IF(B33="","",IF(OR(H33="",I33=""),"Não verificado",IF(I33=H33,"Sem mudança",IF(I33&gt;H33,"Aumentou","Diminuiu"))))</x:f>
      </x:c>
      <x:c r="M33" s="12"/>
      <x:c r="N33" s="12"/>
      <x:c r="O33" s="14"/>
      <x:c r="P33" t="str">
        <x:f>IF(B33="","",IF(OR(J33="Indisponível",K33="Quebrado"),"URGENTE: revisar",IF(OR(J33="Não verificado",K33="Não verificado"),"Verificar",IF(L33="Aumentou","Revisar preço","OK"))))</x:f>
      </x:c>
    </x:row>
    <x:row r="34" ht="29" customHeight="1">
      <x:c r="B34" s="14"/>
      <x:c r="C34" s="14"/>
      <x:c r="D34" s="14"/>
      <x:c r="E34" s="14"/>
      <x:c r="F34" s="14"/>
      <x:c r="G34" s="14"/>
      <x:c r="H34" s="10"/>
      <x:c r="I34" s="10"/>
      <x:c r="L34" t="str">
        <x:f>IF(B34="","",IF(OR(H34="",I34=""),"Não verificado",IF(I34=H34,"Sem mudança",IF(I34&gt;H34,"Aumentou","Diminuiu"))))</x:f>
      </x:c>
      <x:c r="M34" s="12"/>
      <x:c r="N34" s="12"/>
      <x:c r="O34" s="14"/>
      <x:c r="P34" t="str">
        <x:f>IF(B34="","",IF(OR(J34="Indisponível",K34="Quebrado"),"URGENTE: revisar",IF(OR(J34="Não verificado",K34="Não verificado"),"Verificar",IF(L34="Aumentou","Revisar preço","OK"))))</x:f>
      </x:c>
    </x:row>
    <x:row r="35" ht="29" customHeight="1">
      <x:c r="B35" s="14"/>
      <x:c r="C35" s="14"/>
      <x:c r="D35" s="14"/>
      <x:c r="E35" s="14"/>
      <x:c r="F35" s="14"/>
      <x:c r="G35" s="14"/>
      <x:c r="H35" s="10"/>
      <x:c r="I35" s="10"/>
      <x:c r="L35" t="str">
        <x:f>IF(B35="","",IF(OR(H35="",I35=""),"Não verificado",IF(I35=H35,"Sem mudança",IF(I35&gt;H35,"Aumentou","Diminuiu"))))</x:f>
      </x:c>
      <x:c r="M35" s="12"/>
      <x:c r="N35" s="12"/>
      <x:c r="O35" s="14"/>
      <x:c r="P35" t="str">
        <x:f>IF(B35="","",IF(OR(J35="Indisponível",K35="Quebrado"),"URGENTE: revisar",IF(OR(J35="Não verificado",K35="Não verificado"),"Verificar",IF(L35="Aumentou","Revisar preço","OK"))))</x:f>
      </x:c>
    </x:row>
    <x:row r="36" ht="29" customHeight="1">
      <x:c r="B36" s="14"/>
      <x:c r="C36" s="14"/>
      <x:c r="D36" s="14"/>
      <x:c r="E36" s="14"/>
      <x:c r="F36" s="14"/>
      <x:c r="G36" s="14"/>
      <x:c r="H36" s="10"/>
      <x:c r="I36" s="10"/>
      <x:c r="L36" t="str">
        <x:f>IF(B36="","",IF(OR(H36="",I36=""),"Não verificado",IF(I36=H36,"Sem mudança",IF(I36&gt;H36,"Aumentou","Diminuiu"))))</x:f>
      </x:c>
      <x:c r="M36" s="12"/>
      <x:c r="N36" s="12"/>
      <x:c r="O36" s="14"/>
      <x:c r="P36" t="str">
        <x:f>IF(B36="","",IF(OR(J36="Indisponível",K36="Quebrado"),"URGENTE: revisar",IF(OR(J36="Não verificado",K36="Não verificado"),"Verificar",IF(L36="Aumentou","Revisar preço","OK"))))</x:f>
      </x:c>
    </x:row>
    <x:row r="37" ht="29" customHeight="1">
      <x:c r="B37" s="14"/>
      <x:c r="C37" s="14"/>
      <x:c r="D37" s="14"/>
      <x:c r="E37" s="14"/>
      <x:c r="F37" s="14"/>
      <x:c r="G37" s="14"/>
      <x:c r="H37" s="10"/>
      <x:c r="I37" s="10"/>
      <x:c r="L37" t="str">
        <x:f>IF(B37="","",IF(OR(H37="",I37=""),"Não verificado",IF(I37=H37,"Sem mudança",IF(I37&gt;H37,"Aumentou","Diminuiu"))))</x:f>
      </x:c>
      <x:c r="M37" s="12"/>
      <x:c r="N37" s="12"/>
      <x:c r="O37" s="14"/>
      <x:c r="P37" t="str">
        <x:f>IF(B37="","",IF(OR(J37="Indisponível",K37="Quebrado"),"URGENTE: revisar",IF(OR(J37="Não verificado",K37="Não verificado"),"Verificar",IF(L37="Aumentou","Revisar preço","OK"))))</x:f>
      </x:c>
    </x:row>
    <x:row r="38" ht="29" customHeight="1">
      <x:c r="B38" s="14"/>
      <x:c r="C38" s="14"/>
      <x:c r="D38" s="14"/>
      <x:c r="E38" s="14"/>
      <x:c r="F38" s="14"/>
      <x:c r="G38" s="14"/>
      <x:c r="H38" s="10"/>
      <x:c r="I38" s="10"/>
      <x:c r="L38" t="str">
        <x:f>IF(B38="","",IF(OR(H38="",I38=""),"Não verificado",IF(I38=H38,"Sem mudança",IF(I38&gt;H38,"Aumentou","Diminuiu"))))</x:f>
      </x:c>
      <x:c r="M38" s="12"/>
      <x:c r="N38" s="12"/>
      <x:c r="O38" s="14"/>
      <x:c r="P38" t="str">
        <x:f>IF(B38="","",IF(OR(J38="Indisponível",K38="Quebrado"),"URGENTE: revisar",IF(OR(J38="Não verificado",K38="Não verificado"),"Verificar",IF(L38="Aumentou","Revisar preço","OK"))))</x:f>
      </x:c>
    </x:row>
    <x:row r="39" ht="29" customHeight="1">
      <x:c r="B39" s="14"/>
      <x:c r="C39" s="14"/>
      <x:c r="D39" s="14"/>
      <x:c r="E39" s="14"/>
      <x:c r="F39" s="14"/>
      <x:c r="G39" s="14"/>
      <x:c r="H39" s="10"/>
      <x:c r="I39" s="10"/>
      <x:c r="L39" t="str">
        <x:f>IF(B39="","",IF(OR(H39="",I39=""),"Não verificado",IF(I39=H39,"Sem mudança",IF(I39&gt;H39,"Aumentou","Diminuiu"))))</x:f>
      </x:c>
      <x:c r="M39" s="12"/>
      <x:c r="N39" s="12"/>
      <x:c r="O39" s="14"/>
      <x:c r="P39" t="str">
        <x:f>IF(B39="","",IF(OR(J39="Indisponível",K39="Quebrado"),"URGENTE: revisar",IF(OR(J39="Não verificado",K39="Não verificado"),"Verificar",IF(L39="Aumentou","Revisar preço","OK"))))</x:f>
      </x:c>
    </x:row>
    <x:row r="40" ht="29" customHeight="1">
      <x:c r="B40" s="14"/>
      <x:c r="C40" s="14"/>
      <x:c r="D40" s="14"/>
      <x:c r="E40" s="14"/>
      <x:c r="F40" s="14"/>
      <x:c r="G40" s="14"/>
      <x:c r="H40" s="10"/>
      <x:c r="I40" s="10"/>
      <x:c r="L40" t="str">
        <x:f>IF(B40="","",IF(OR(H40="",I40=""),"Não verificado",IF(I40=H40,"Sem mudança",IF(I40&gt;H40,"Aumentou","Diminuiu"))))</x:f>
      </x:c>
      <x:c r="M40" s="12"/>
      <x:c r="N40" s="12"/>
      <x:c r="O40" s="14"/>
      <x:c r="P40" t="str">
        <x:f>IF(B40="","",IF(OR(J40="Indisponível",K40="Quebrado"),"URGENTE: revisar",IF(OR(J40="Não verificado",K40="Não verificado"),"Verificar",IF(L40="Aumentou","Revisar preço","OK"))))</x:f>
      </x:c>
    </x:row>
    <x:row r="41" ht="29" customHeight="1">
      <x:c r="B41" s="14"/>
      <x:c r="C41" s="14"/>
      <x:c r="D41" s="14"/>
      <x:c r="E41" s="14"/>
      <x:c r="F41" s="14"/>
      <x:c r="G41" s="14"/>
      <x:c r="H41" s="10"/>
      <x:c r="I41" s="10"/>
      <x:c r="L41" t="str">
        <x:f>IF(B41="","",IF(OR(H41="",I41=""),"Não verificado",IF(I41=H41,"Sem mudança",IF(I41&gt;H41,"Aumentou","Diminuiu"))))</x:f>
      </x:c>
      <x:c r="M41" s="12"/>
      <x:c r="N41" s="12"/>
      <x:c r="O41" s="14"/>
      <x:c r="P41" t="str">
        <x:f>IF(B41="","",IF(OR(J41="Indisponível",K41="Quebrado"),"URGENTE: revisar",IF(OR(J41="Não verificado",K41="Não verificado"),"Verificar",IF(L41="Aumentou","Revisar preço","OK"))))</x:f>
      </x:c>
    </x:row>
    <x:row r="42" ht="29" customHeight="1">
      <x:c r="B42" s="14"/>
      <x:c r="C42" s="14"/>
      <x:c r="D42" s="14"/>
      <x:c r="E42" s="14"/>
      <x:c r="F42" s="14"/>
      <x:c r="G42" s="14"/>
      <x:c r="H42" s="10"/>
      <x:c r="I42" s="10"/>
      <x:c r="L42" t="str">
        <x:f>IF(B42="","",IF(OR(H42="",I42=""),"Não verificado",IF(I42=H42,"Sem mudança",IF(I42&gt;H42,"Aumentou","Diminuiu"))))</x:f>
      </x:c>
      <x:c r="M42" s="12"/>
      <x:c r="N42" s="12"/>
      <x:c r="O42" s="14"/>
      <x:c r="P42" t="str">
        <x:f>IF(B42="","",IF(OR(J42="Indisponível",K42="Quebrado"),"URGENTE: revisar",IF(OR(J42="Não verificado",K42="Não verificado"),"Verificar",IF(L42="Aumentou","Revisar preço","OK"))))</x:f>
      </x:c>
    </x:row>
    <x:row r="43" ht="29" customHeight="1">
      <x:c r="B43" s="14"/>
      <x:c r="C43" s="14"/>
      <x:c r="D43" s="14"/>
      <x:c r="E43" s="14"/>
      <x:c r="F43" s="14"/>
      <x:c r="G43" s="14"/>
      <x:c r="H43" s="10"/>
      <x:c r="I43" s="10"/>
      <x:c r="L43" t="str">
        <x:f>IF(B43="","",IF(OR(H43="",I43=""),"Não verificado",IF(I43=H43,"Sem mudança",IF(I43&gt;H43,"Aumentou","Diminuiu"))))</x:f>
      </x:c>
      <x:c r="M43" s="12"/>
      <x:c r="N43" s="12"/>
      <x:c r="O43" s="14"/>
      <x:c r="P43" t="str">
        <x:f>IF(B43="","",IF(OR(J43="Indisponível",K43="Quebrado"),"URGENTE: revisar",IF(OR(J43="Não verificado",K43="Não verificado"),"Verificar",IF(L43="Aumentou","Revisar preço","OK"))))</x:f>
      </x:c>
    </x:row>
    <x:row r="44" ht="29" customHeight="1">
      <x:c r="B44" s="14"/>
      <x:c r="C44" s="14"/>
      <x:c r="D44" s="14"/>
      <x:c r="E44" s="14"/>
      <x:c r="F44" s="14"/>
      <x:c r="G44" s="14"/>
      <x:c r="H44" s="10"/>
      <x:c r="I44" s="10"/>
      <x:c r="L44" t="str">
        <x:f>IF(B44="","",IF(OR(H44="",I44=""),"Não verificado",IF(I44=H44,"Sem mudança",IF(I44&gt;H44,"Aumentou","Diminuiu"))))</x:f>
      </x:c>
      <x:c r="M44" s="12"/>
      <x:c r="N44" s="12"/>
      <x:c r="O44" s="14"/>
      <x:c r="P44" t="str">
        <x:f>IF(B44="","",IF(OR(J44="Indisponível",K44="Quebrado"),"URGENTE: revisar",IF(OR(J44="Não verificado",K44="Não verificado"),"Verificar",IF(L44="Aumentou","Revisar preço","OK"))))</x:f>
      </x:c>
    </x:row>
    <x:row r="45" ht="29" customHeight="1">
      <x:c r="B45" s="14"/>
      <x:c r="C45" s="14"/>
      <x:c r="D45" s="14"/>
      <x:c r="E45" s="14"/>
      <x:c r="F45" s="14"/>
      <x:c r="G45" s="14"/>
      <x:c r="H45" s="10"/>
      <x:c r="I45" s="10"/>
      <x:c r="L45" t="str">
        <x:f>IF(B45="","",IF(OR(H45="",I45=""),"Não verificado",IF(I45=H45,"Sem mudança",IF(I45&gt;H45,"Aumentou","Diminuiu"))))</x:f>
      </x:c>
      <x:c r="M45" s="12"/>
      <x:c r="N45" s="12"/>
      <x:c r="O45" s="14"/>
      <x:c r="P45" t="str">
        <x:f>IF(B45="","",IF(OR(J45="Indisponível",K45="Quebrado"),"URGENTE: revisar",IF(OR(J45="Não verificado",K45="Não verificado"),"Verificar",IF(L45="Aumentou","Revisar preço","OK"))))</x:f>
      </x:c>
    </x:row>
    <x:row r="46" ht="29" customHeight="1">
      <x:c r="B46" s="14"/>
      <x:c r="C46" s="14"/>
      <x:c r="D46" s="14"/>
      <x:c r="E46" s="14"/>
      <x:c r="F46" s="14"/>
      <x:c r="G46" s="14"/>
      <x:c r="H46" s="10"/>
      <x:c r="I46" s="10"/>
      <x:c r="L46" t="str">
        <x:f>IF(B46="","",IF(OR(H46="",I46=""),"Não verificado",IF(I46=H46,"Sem mudança",IF(I46&gt;H46,"Aumentou","Diminuiu"))))</x:f>
      </x:c>
      <x:c r="M46" s="12"/>
      <x:c r="N46" s="12"/>
      <x:c r="O46" s="14"/>
      <x:c r="P46" t="str">
        <x:f>IF(B46="","",IF(OR(J46="Indisponível",K46="Quebrado"),"URGENTE: revisar",IF(OR(J46="Não verificado",K46="Não verificado"),"Verificar",IF(L46="Aumentou","Revisar preço","OK"))))</x:f>
      </x:c>
    </x:row>
    <x:row r="47" ht="29" customHeight="1">
      <x:c r="B47" s="14"/>
      <x:c r="C47" s="14"/>
      <x:c r="D47" s="14"/>
      <x:c r="E47" s="14"/>
      <x:c r="F47" s="14"/>
      <x:c r="G47" s="14"/>
      <x:c r="H47" s="10"/>
      <x:c r="I47" s="10"/>
      <x:c r="L47" t="str">
        <x:f>IF(B47="","",IF(OR(H47="",I47=""),"Não verificado",IF(I47=H47,"Sem mudança",IF(I47&gt;H47,"Aumentou","Diminuiu"))))</x:f>
      </x:c>
      <x:c r="M47" s="12"/>
      <x:c r="N47" s="12"/>
      <x:c r="O47" s="14"/>
      <x:c r="P47" t="str">
        <x:f>IF(B47="","",IF(OR(J47="Indisponível",K47="Quebrado"),"URGENTE: revisar",IF(OR(J47="Não verificado",K47="Não verificado"),"Verificar",IF(L47="Aumentou","Revisar preço","OK"))))</x:f>
      </x:c>
    </x:row>
    <x:row r="48" ht="29" customHeight="1">
      <x:c r="B48" s="14"/>
      <x:c r="C48" s="14"/>
      <x:c r="D48" s="14"/>
      <x:c r="E48" s="14"/>
      <x:c r="F48" s="14"/>
      <x:c r="G48" s="14"/>
      <x:c r="H48" s="10"/>
      <x:c r="I48" s="10"/>
      <x:c r="L48" t="str">
        <x:f>IF(B48="","",IF(OR(H48="",I48=""),"Não verificado",IF(I48=H48,"Sem mudança",IF(I48&gt;H48,"Aumentou","Diminuiu"))))</x:f>
      </x:c>
      <x:c r="M48" s="12"/>
      <x:c r="N48" s="12"/>
      <x:c r="O48" s="14"/>
      <x:c r="P48" t="str">
        <x:f>IF(B48="","",IF(OR(J48="Indisponível",K48="Quebrado"),"URGENTE: revisar",IF(OR(J48="Não verificado",K48="Não verificado"),"Verificar",IF(L48="Aumentou","Revisar preço","OK"))))</x:f>
      </x:c>
    </x:row>
    <x:row r="49" ht="29" customHeight="1">
      <x:c r="B49" s="14"/>
      <x:c r="C49" s="14"/>
      <x:c r="D49" s="14"/>
      <x:c r="E49" s="14"/>
      <x:c r="F49" s="14"/>
      <x:c r="G49" s="14"/>
      <x:c r="H49" s="10"/>
      <x:c r="I49" s="10"/>
      <x:c r="L49" t="str">
        <x:f>IF(B49="","",IF(OR(H49="",I49=""),"Não verificado",IF(I49=H49,"Sem mudança",IF(I49&gt;H49,"Aumentou","Diminuiu"))))</x:f>
      </x:c>
      <x:c r="M49" s="12"/>
      <x:c r="N49" s="12"/>
      <x:c r="O49" s="14"/>
      <x:c r="P49" t="str">
        <x:f>IF(B49="","",IF(OR(J49="Indisponível",K49="Quebrado"),"URGENTE: revisar",IF(OR(J49="Não verificado",K49="Não verificado"),"Verificar",IF(L49="Aumentou","Revisar preço","OK"))))</x:f>
      </x:c>
    </x:row>
    <x:row r="50" ht="29" customHeight="1">
      <x:c r="B50" s="14"/>
      <x:c r="C50" s="14"/>
      <x:c r="D50" s="14"/>
      <x:c r="E50" s="14"/>
      <x:c r="F50" s="14"/>
      <x:c r="G50" s="14"/>
      <x:c r="H50" s="10"/>
      <x:c r="I50" s="10"/>
      <x:c r="L50" t="str">
        <x:f>IF(B50="","",IF(OR(H50="",I50=""),"Não verificado",IF(I50=H50,"Sem mudança",IF(I50&gt;H50,"Aumentou","Diminuiu"))))</x:f>
      </x:c>
      <x:c r="M50" s="12"/>
      <x:c r="N50" s="12"/>
      <x:c r="O50" s="14"/>
      <x:c r="P50" t="str">
        <x:f>IF(B50="","",IF(OR(J50="Indisponível",K50="Quebrado"),"URGENTE: revisar",IF(OR(J50="Não verificado",K50="Não verificado"),"Verificar",IF(L50="Aumentou","Revisar preço","OK"))))</x:f>
      </x:c>
    </x:row>
    <x:row r="51" ht="29" customHeight="1">
      <x:c r="B51" s="14"/>
      <x:c r="C51" s="14"/>
      <x:c r="D51" s="14"/>
      <x:c r="E51" s="14"/>
      <x:c r="F51" s="14"/>
      <x:c r="G51" s="14"/>
      <x:c r="H51" s="10"/>
      <x:c r="I51" s="10"/>
      <x:c r="L51" t="str">
        <x:f>IF(B51="","",IF(OR(H51="",I51=""),"Não verificado",IF(I51=H51,"Sem mudança",IF(I51&gt;H51,"Aumentou","Diminuiu"))))</x:f>
      </x:c>
      <x:c r="M51" s="12"/>
      <x:c r="N51" s="12"/>
      <x:c r="O51" s="14"/>
      <x:c r="P51" t="str">
        <x:f>IF(B51="","",IF(OR(J51="Indisponível",K51="Quebrado"),"URGENTE: revisar",IF(OR(J51="Não verificado",K51="Não verificado"),"Verificar",IF(L51="Aumentou","Revisar preço","OK"))))</x:f>
      </x:c>
    </x:row>
    <x:row r="52" ht="29" customHeight="1">
      <x:c r="B52" s="14"/>
      <x:c r="C52" s="14"/>
      <x:c r="D52" s="14"/>
      <x:c r="E52" s="14"/>
      <x:c r="F52" s="14"/>
      <x:c r="G52" s="14"/>
      <x:c r="H52" s="10"/>
      <x:c r="I52" s="10"/>
      <x:c r="L52" t="str">
        <x:f>IF(B52="","",IF(OR(H52="",I52=""),"Não verificado",IF(I52=H52,"Sem mudança",IF(I52&gt;H52,"Aumentou","Diminuiu"))))</x:f>
      </x:c>
      <x:c r="M52" s="12"/>
      <x:c r="N52" s="12"/>
      <x:c r="O52" s="14"/>
      <x:c r="P52" t="str">
        <x:f>IF(B52="","",IF(OR(J52="Indisponível",K52="Quebrado"),"URGENTE: revisar",IF(OR(J52="Não verificado",K52="Não verificado"),"Verificar",IF(L52="Aumentou","Revisar preço","OK"))))</x:f>
      </x:c>
    </x:row>
    <x:row r="53" ht="29" customHeight="1">
      <x:c r="B53" s="14"/>
      <x:c r="C53" s="14"/>
      <x:c r="D53" s="14"/>
      <x:c r="E53" s="14"/>
      <x:c r="F53" s="14"/>
      <x:c r="G53" s="14"/>
      <x:c r="H53" s="10"/>
      <x:c r="I53" s="10"/>
      <x:c r="L53" t="str">
        <x:f>IF(B53="","",IF(OR(H53="",I53=""),"Não verificado",IF(I53=H53,"Sem mudança",IF(I53&gt;H53,"Aumentou","Diminuiu"))))</x:f>
      </x:c>
      <x:c r="M53" s="12"/>
      <x:c r="N53" s="12"/>
      <x:c r="O53" s="14"/>
      <x:c r="P53" t="str">
        <x:f>IF(B53="","",IF(OR(J53="Indisponível",K53="Quebrado"),"URGENTE: revisar",IF(OR(J53="Não verificado",K53="Não verificado"),"Verificar",IF(L53="Aumentou","Revisar preço","OK"))))</x:f>
      </x:c>
    </x:row>
    <x:row r="54" ht="29" customHeight="1">
      <x:c r="B54" s="14"/>
      <x:c r="C54" s="14"/>
      <x:c r="D54" s="14"/>
      <x:c r="E54" s="14"/>
      <x:c r="F54" s="14"/>
      <x:c r="G54" s="14"/>
      <x:c r="H54" s="10"/>
      <x:c r="I54" s="10"/>
      <x:c r="L54" t="str">
        <x:f>IF(B54="","",IF(OR(H54="",I54=""),"Não verificado",IF(I54=H54,"Sem mudança",IF(I54&gt;H54,"Aumentou","Diminuiu"))))</x:f>
      </x:c>
      <x:c r="M54" s="12"/>
      <x:c r="N54" s="12"/>
      <x:c r="O54" s="14"/>
      <x:c r="P54" t="str">
        <x:f>IF(B54="","",IF(OR(J54="Indisponível",K54="Quebrado"),"URGENTE: revisar",IF(OR(J54="Não verificado",K54="Não verificado"),"Verificar",IF(L54="Aumentou","Revisar preço","OK"))))</x:f>
      </x:c>
    </x:row>
    <x:row r="55" ht="29" customHeight="1">
      <x:c r="B55" s="14"/>
      <x:c r="C55" s="14"/>
      <x:c r="D55" s="14"/>
      <x:c r="E55" s="14"/>
      <x:c r="F55" s="14"/>
      <x:c r="G55" s="14"/>
      <x:c r="H55" s="10"/>
      <x:c r="I55" s="10"/>
      <x:c r="L55" t="str">
        <x:f>IF(B55="","",IF(OR(H55="",I55=""),"Não verificado",IF(I55=H55,"Sem mudança",IF(I55&gt;H55,"Aumentou","Diminuiu"))))</x:f>
      </x:c>
      <x:c r="M55" s="12"/>
      <x:c r="N55" s="12"/>
      <x:c r="O55" s="14"/>
      <x:c r="P55" t="str">
        <x:f>IF(B55="","",IF(OR(J55="Indisponível",K55="Quebrado"),"URGENTE: revisar",IF(OR(J55="Não verificado",K55="Não verificado"),"Verificar",IF(L55="Aumentou","Revisar preço","OK"))))</x:f>
      </x:c>
    </x:row>
    <x:row r="56" ht="29" customHeight="1">
      <x:c r="B56" s="14"/>
      <x:c r="C56" s="14"/>
      <x:c r="D56" s="14"/>
      <x:c r="E56" s="14"/>
      <x:c r="F56" s="14"/>
      <x:c r="G56" s="14"/>
      <x:c r="H56" s="10"/>
      <x:c r="I56" s="10"/>
      <x:c r="L56" t="str">
        <x:f>IF(B56="","",IF(OR(H56="",I56=""),"Não verificado",IF(I56=H56,"Sem mudança",IF(I56&gt;H56,"Aumentou","Diminuiu"))))</x:f>
      </x:c>
      <x:c r="M56" s="12"/>
      <x:c r="N56" s="12"/>
      <x:c r="O56" s="14"/>
      <x:c r="P56" t="str">
        <x:f>IF(B56="","",IF(OR(J56="Indisponível",K56="Quebrado"),"URGENTE: revisar",IF(OR(J56="Não verificado",K56="Não verificado"),"Verificar",IF(L56="Aumentou","Revisar preço","OK"))))</x:f>
      </x:c>
    </x:row>
    <x:row r="57" ht="29" customHeight="1">
      <x:c r="B57" s="14"/>
      <x:c r="C57" s="14"/>
      <x:c r="D57" s="14"/>
      <x:c r="E57" s="14"/>
      <x:c r="F57" s="14"/>
      <x:c r="G57" s="14"/>
      <x:c r="H57" s="10"/>
      <x:c r="I57" s="10"/>
      <x:c r="L57" t="str">
        <x:f>IF(B57="","",IF(OR(H57="",I57=""),"Não verificado",IF(I57=H57,"Sem mudança",IF(I57&gt;H57,"Aumentou","Diminuiu"))))</x:f>
      </x:c>
      <x:c r="M57" s="12"/>
      <x:c r="N57" s="12"/>
      <x:c r="O57" s="14"/>
      <x:c r="P57" t="str">
        <x:f>IF(B57="","",IF(OR(J57="Indisponível",K57="Quebrado"),"URGENTE: revisar",IF(OR(J57="Não verificado",K57="Não verificado"),"Verificar",IF(L57="Aumentou","Revisar preço","OK"))))</x:f>
      </x:c>
    </x:row>
    <x:row r="58" ht="29" customHeight="1">
      <x:c r="B58" s="14"/>
      <x:c r="C58" s="14"/>
      <x:c r="D58" s="14"/>
      <x:c r="E58" s="14"/>
      <x:c r="F58" s="14"/>
      <x:c r="G58" s="14"/>
      <x:c r="H58" s="10"/>
      <x:c r="I58" s="10"/>
      <x:c r="L58" t="str">
        <x:f>IF(B58="","",IF(OR(H58="",I58=""),"Não verificado",IF(I58=H58,"Sem mudança",IF(I58&gt;H58,"Aumentou","Diminuiu"))))</x:f>
      </x:c>
      <x:c r="M58" s="12"/>
      <x:c r="N58" s="12"/>
      <x:c r="O58" s="14"/>
      <x:c r="P58" t="str">
        <x:f>IF(B58="","",IF(OR(J58="Indisponível",K58="Quebrado"),"URGENTE: revisar",IF(OR(J58="Não verificado",K58="Não verificado"),"Verificar",IF(L58="Aumentou","Revisar preço","OK"))))</x:f>
      </x:c>
    </x:row>
    <x:row r="59" ht="29" customHeight="1">
      <x:c r="B59" s="14"/>
      <x:c r="C59" s="14"/>
      <x:c r="D59" s="14"/>
      <x:c r="E59" s="14"/>
      <x:c r="F59" s="14"/>
      <x:c r="G59" s="14"/>
      <x:c r="H59" s="10"/>
      <x:c r="I59" s="10"/>
      <x:c r="L59" t="str">
        <x:f>IF(B59="","",IF(OR(H59="",I59=""),"Não verificado",IF(I59=H59,"Sem mudança",IF(I59&gt;H59,"Aumentou","Diminuiu"))))</x:f>
      </x:c>
      <x:c r="M59" s="12"/>
      <x:c r="N59" s="12"/>
      <x:c r="O59" s="14"/>
      <x:c r="P59" t="str">
        <x:f>IF(B59="","",IF(OR(J59="Indisponível",K59="Quebrado"),"URGENTE: revisar",IF(OR(J59="Não verificado",K59="Não verificado"),"Verificar",IF(L59="Aumentou","Revisar preço","OK"))))</x:f>
      </x:c>
    </x:row>
    <x:row r="60" ht="29" customHeight="1">
      <x:c r="B60" s="14"/>
      <x:c r="C60" s="14"/>
      <x:c r="D60" s="14"/>
      <x:c r="E60" s="14"/>
      <x:c r="F60" s="14"/>
      <x:c r="G60" s="14"/>
      <x:c r="H60" s="10"/>
      <x:c r="I60" s="10"/>
      <x:c r="L60" t="str">
        <x:f>IF(B60="","",IF(OR(H60="",I60=""),"Não verificado",IF(I60=H60,"Sem mudança",IF(I60&gt;H60,"Aumentou","Diminuiu"))))</x:f>
      </x:c>
      <x:c r="M60" s="12"/>
      <x:c r="N60" s="12"/>
      <x:c r="O60" s="14"/>
      <x:c r="P60" t="str">
        <x:f>IF(B60="","",IF(OR(J60="Indisponível",K60="Quebrado"),"URGENTE: revisar",IF(OR(J60="Não verificado",K60="Não verificado"),"Verificar",IF(L60="Aumentou","Revisar preço","OK"))))</x:f>
      </x:c>
    </x:row>
    <x:row r="61" ht="29" customHeight="1">
      <x:c r="B61" s="14"/>
      <x:c r="C61" s="14"/>
      <x:c r="D61" s="14"/>
      <x:c r="E61" s="14"/>
      <x:c r="F61" s="14"/>
      <x:c r="G61" s="14"/>
      <x:c r="H61" s="10"/>
      <x:c r="I61" s="10"/>
      <x:c r="L61" t="str">
        <x:f>IF(B61="","",IF(OR(H61="",I61=""),"Não verificado",IF(I61=H61,"Sem mudança",IF(I61&gt;H61,"Aumentou","Diminuiu"))))</x:f>
      </x:c>
      <x:c r="M61" s="12"/>
      <x:c r="N61" s="12"/>
      <x:c r="O61" s="14"/>
      <x:c r="P61" t="str">
        <x:f>IF(B61="","",IF(OR(J61="Indisponível",K61="Quebrado"),"URGENTE: revisar",IF(OR(J61="Não verificado",K61="Não verificado"),"Verificar",IF(L61="Aumentou","Revisar preço","OK"))))</x:f>
      </x:c>
    </x:row>
    <x:row r="62" ht="29" customHeight="1">
      <x:c r="B62" s="14"/>
      <x:c r="C62" s="14"/>
      <x:c r="D62" s="14"/>
      <x:c r="E62" s="14"/>
      <x:c r="F62" s="14"/>
      <x:c r="G62" s="14"/>
      <x:c r="H62" s="10"/>
      <x:c r="I62" s="10"/>
      <x:c r="L62" t="str">
        <x:f>IF(B62="","",IF(OR(H62="",I62=""),"Não verificado",IF(I62=H62,"Sem mudança",IF(I62&gt;H62,"Aumentou","Diminuiu"))))</x:f>
      </x:c>
      <x:c r="M62" s="12"/>
      <x:c r="N62" s="12"/>
      <x:c r="O62" s="14"/>
      <x:c r="P62" t="str">
        <x:f>IF(B62="","",IF(OR(J62="Indisponível",K62="Quebrado"),"URGENTE: revisar",IF(OR(J62="Não verificado",K62="Não verificado"),"Verificar",IF(L62="Aumentou","Revisar preço","OK"))))</x:f>
      </x:c>
    </x:row>
    <x:row r="63" ht="29" customHeight="1">
      <x:c r="B63" s="14"/>
      <x:c r="C63" s="14"/>
      <x:c r="D63" s="14"/>
      <x:c r="E63" s="14"/>
      <x:c r="F63" s="14"/>
      <x:c r="G63" s="14"/>
      <x:c r="H63" s="10"/>
      <x:c r="I63" s="10"/>
      <x:c r="L63" t="str">
        <x:f>IF(B63="","",IF(OR(H63="",I63=""),"Não verificado",IF(I63=H63,"Sem mudança",IF(I63&gt;H63,"Aumentou","Diminuiu"))))</x:f>
      </x:c>
      <x:c r="M63" s="12"/>
      <x:c r="N63" s="12"/>
      <x:c r="O63" s="14"/>
      <x:c r="P63" t="str">
        <x:f>IF(B63="","",IF(OR(J63="Indisponível",K63="Quebrado"),"URGENTE: revisar",IF(OR(J63="Não verificado",K63="Não verificado"),"Verificar",IF(L63="Aumentou","Revisar preço","OK"))))</x:f>
      </x:c>
    </x:row>
    <x:row r="64" ht="29" customHeight="1">
      <x:c r="B64" s="14"/>
      <x:c r="C64" s="14"/>
      <x:c r="D64" s="14"/>
      <x:c r="E64" s="14"/>
      <x:c r="F64" s="14"/>
      <x:c r="G64" s="14"/>
      <x:c r="H64" s="10"/>
      <x:c r="I64" s="10"/>
      <x:c r="L64" t="str">
        <x:f>IF(B64="","",IF(OR(H64="",I64=""),"Não verificado",IF(I64=H64,"Sem mudança",IF(I64&gt;H64,"Aumentou","Diminuiu"))))</x:f>
      </x:c>
      <x:c r="M64" s="12"/>
      <x:c r="N64" s="12"/>
      <x:c r="O64" s="14"/>
      <x:c r="P64" t="str">
        <x:f>IF(B64="","",IF(OR(J64="Indisponível",K64="Quebrado"),"URGENTE: revisar",IF(OR(J64="Não verificado",K64="Não verificado"),"Verificar",IF(L64="Aumentou","Revisar preço","OK"))))</x:f>
      </x:c>
    </x:row>
    <x:row r="65" ht="29" customHeight="1">
      <x:c r="B65" s="14"/>
      <x:c r="C65" s="14"/>
      <x:c r="D65" s="14"/>
      <x:c r="E65" s="14"/>
      <x:c r="F65" s="14"/>
      <x:c r="G65" s="14"/>
      <x:c r="H65" s="10"/>
      <x:c r="I65" s="10"/>
      <x:c r="L65" t="str">
        <x:f>IF(B65="","",IF(OR(H65="",I65=""),"Não verificado",IF(I65=H65,"Sem mudança",IF(I65&gt;H65,"Aumentou","Diminuiu"))))</x:f>
      </x:c>
      <x:c r="M65" s="12"/>
      <x:c r="N65" s="12"/>
      <x:c r="O65" s="14"/>
      <x:c r="P65" t="str">
        <x:f>IF(B65="","",IF(OR(J65="Indisponível",K65="Quebrado"),"URGENTE: revisar",IF(OR(J65="Não verificado",K65="Não verificado"),"Verificar",IF(L65="Aumentou","Revisar preço","OK"))))</x:f>
      </x:c>
    </x:row>
    <x:row r="66" ht="29" customHeight="1">
      <x:c r="B66" s="14"/>
      <x:c r="C66" s="14"/>
      <x:c r="D66" s="14"/>
      <x:c r="E66" s="14"/>
      <x:c r="F66" s="14"/>
      <x:c r="G66" s="14"/>
      <x:c r="H66" s="10"/>
      <x:c r="I66" s="10"/>
      <x:c r="L66" t="str">
        <x:f>IF(B66="","",IF(OR(H66="",I66=""),"Não verificado",IF(I66=H66,"Sem mudança",IF(I66&gt;H66,"Aumentou","Diminuiu"))))</x:f>
      </x:c>
      <x:c r="M66" s="12"/>
      <x:c r="N66" s="12"/>
      <x:c r="O66" s="14"/>
      <x:c r="P66" t="str">
        <x:f>IF(B66="","",IF(OR(J66="Indisponível",K66="Quebrado"),"URGENTE: revisar",IF(OR(J66="Não verificado",K66="Não verificado"),"Verificar",IF(L66="Aumentou","Revisar preço","OK"))))</x:f>
      </x:c>
    </x:row>
    <x:row r="67" ht="29" customHeight="1">
      <x:c r="B67" s="14"/>
      <x:c r="C67" s="14"/>
      <x:c r="D67" s="14"/>
      <x:c r="E67" s="14"/>
      <x:c r="F67" s="14"/>
      <x:c r="G67" s="14"/>
      <x:c r="H67" s="10"/>
      <x:c r="I67" s="10"/>
      <x:c r="L67" t="str">
        <x:f>IF(B67="","",IF(OR(H67="",I67=""),"Não verificado",IF(I67=H67,"Sem mudança",IF(I67&gt;H67,"Aumentou","Diminuiu"))))</x:f>
      </x:c>
      <x:c r="M67" s="12"/>
      <x:c r="N67" s="12"/>
      <x:c r="O67" s="14"/>
      <x:c r="P67" t="str">
        <x:f>IF(B67="","",IF(OR(J67="Indisponível",K67="Quebrado"),"URGENTE: revisar",IF(OR(J67="Não verificado",K67="Não verificado"),"Verificar",IF(L67="Aumentou","Revisar preço","OK"))))</x:f>
      </x:c>
    </x:row>
    <x:row r="68" ht="29" customHeight="1">
      <x:c r="B68" s="14"/>
      <x:c r="C68" s="14"/>
      <x:c r="D68" s="14"/>
      <x:c r="E68" s="14"/>
      <x:c r="F68" s="14"/>
      <x:c r="G68" s="14"/>
      <x:c r="H68" s="10"/>
      <x:c r="I68" s="10"/>
      <x:c r="L68" t="str">
        <x:f>IF(B68="","",IF(OR(H68="",I68=""),"Não verificado",IF(I68=H68,"Sem mudança",IF(I68&gt;H68,"Aumentou","Diminuiu"))))</x:f>
      </x:c>
      <x:c r="M68" s="12"/>
      <x:c r="N68" s="12"/>
      <x:c r="O68" s="14"/>
      <x:c r="P68" t="str">
        <x:f>IF(B68="","",IF(OR(J68="Indisponível",K68="Quebrado"),"URGENTE: revisar",IF(OR(J68="Não verificado",K68="Não verificado"),"Verificar",IF(L68="Aumentou","Revisar preço","OK"))))</x:f>
      </x:c>
    </x:row>
    <x:row r="69" ht="29" customHeight="1">
      <x:c r="B69" s="14"/>
      <x:c r="C69" s="14"/>
      <x:c r="D69" s="14"/>
      <x:c r="E69" s="14"/>
      <x:c r="F69" s="14"/>
      <x:c r="G69" s="14"/>
      <x:c r="H69" s="10"/>
      <x:c r="I69" s="10"/>
      <x:c r="L69" t="str">
        <x:f>IF(B69="","",IF(OR(H69="",I69=""),"Não verificado",IF(I69=H69,"Sem mudança",IF(I69&gt;H69,"Aumentou","Diminuiu"))))</x:f>
      </x:c>
      <x:c r="M69" s="12"/>
      <x:c r="N69" s="12"/>
      <x:c r="O69" s="14"/>
      <x:c r="P69" t="str">
        <x:f>IF(B69="","",IF(OR(J69="Indisponível",K69="Quebrado"),"URGENTE: revisar",IF(OR(J69="Não verificado",K69="Não verificado"),"Verificar",IF(L69="Aumentou","Revisar preço","OK"))))</x:f>
      </x:c>
    </x:row>
    <x:row r="70" ht="29" customHeight="1">
      <x:c r="B70" s="14"/>
      <x:c r="C70" s="14"/>
      <x:c r="D70" s="14"/>
      <x:c r="E70" s="14"/>
      <x:c r="F70" s="14"/>
      <x:c r="G70" s="14"/>
      <x:c r="H70" s="10"/>
      <x:c r="I70" s="10"/>
      <x:c r="L70" t="str">
        <x:f>IF(B70="","",IF(OR(H70="",I70=""),"Não verificado",IF(I70=H70,"Sem mudança",IF(I70&gt;H70,"Aumentou","Diminuiu"))))</x:f>
      </x:c>
      <x:c r="M70" s="12"/>
      <x:c r="N70" s="12"/>
      <x:c r="O70" s="14"/>
      <x:c r="P70" t="str">
        <x:f>IF(B70="","",IF(OR(J70="Indisponível",K70="Quebrado"),"URGENTE: revisar",IF(OR(J70="Não verificado",K70="Não verificado"),"Verificar",IF(L70="Aumentou","Revisar preço","OK"))))</x:f>
      </x:c>
    </x:row>
    <x:row r="71" ht="29" customHeight="1">
      <x:c r="B71" s="14"/>
      <x:c r="C71" s="14"/>
      <x:c r="D71" s="14"/>
      <x:c r="E71" s="14"/>
      <x:c r="F71" s="14"/>
      <x:c r="G71" s="14"/>
      <x:c r="H71" s="10"/>
      <x:c r="I71" s="10"/>
      <x:c r="L71" t="str">
        <x:f>IF(B71="","",IF(OR(H71="",I71=""),"Não verificado",IF(I71=H71,"Sem mudança",IF(I71&gt;H71,"Aumentou","Diminuiu"))))</x:f>
      </x:c>
      <x:c r="M71" s="12"/>
      <x:c r="N71" s="12"/>
      <x:c r="O71" s="14"/>
      <x:c r="P71" t="str">
        <x:f>IF(B71="","",IF(OR(J71="Indisponível",K71="Quebrado"),"URGENTE: revisar",IF(OR(J71="Não verificado",K71="Não verificado"),"Verificar",IF(L71="Aumentou","Revisar preço","OK"))))</x:f>
      </x:c>
    </x:row>
    <x:row r="72" ht="29" customHeight="1">
      <x:c r="B72" s="14"/>
      <x:c r="C72" s="14"/>
      <x:c r="D72" s="14"/>
      <x:c r="E72" s="14"/>
      <x:c r="F72" s="14"/>
      <x:c r="G72" s="14"/>
      <x:c r="H72" s="10"/>
      <x:c r="I72" s="10"/>
      <x:c r="L72" t="str">
        <x:f>IF(B72="","",IF(OR(H72="",I72=""),"Não verificado",IF(I72=H72,"Sem mudança",IF(I72&gt;H72,"Aumentou","Diminuiu"))))</x:f>
      </x:c>
      <x:c r="M72" s="12"/>
      <x:c r="N72" s="12"/>
      <x:c r="O72" s="14"/>
      <x:c r="P72" t="str">
        <x:f>IF(B72="","",IF(OR(J72="Indisponível",K72="Quebrado"),"URGENTE: revisar",IF(OR(J72="Não verificado",K72="Não verificado"),"Verificar",IF(L72="Aumentou","Revisar preço","OK"))))</x:f>
      </x:c>
    </x:row>
    <x:row r="73" ht="29" customHeight="1">
      <x:c r="B73" s="14"/>
      <x:c r="C73" s="14"/>
      <x:c r="D73" s="14"/>
      <x:c r="E73" s="14"/>
      <x:c r="F73" s="14"/>
      <x:c r="G73" s="14"/>
      <x:c r="H73" s="10"/>
      <x:c r="I73" s="10"/>
      <x:c r="L73" t="str">
        <x:f>IF(B73="","",IF(OR(H73="",I73=""),"Não verificado",IF(I73=H73,"Sem mudança",IF(I73&gt;H73,"Aumentou","Diminuiu"))))</x:f>
      </x:c>
      <x:c r="M73" s="12"/>
      <x:c r="N73" s="12"/>
      <x:c r="O73" s="14"/>
      <x:c r="P73" t="str">
        <x:f>IF(B73="","",IF(OR(J73="Indisponível",K73="Quebrado"),"URGENTE: revisar",IF(OR(J73="Não verificado",K73="Não verificado"),"Verificar",IF(L73="Aumentou","Revisar preço","OK"))))</x:f>
      </x:c>
    </x:row>
    <x:row r="74" ht="29" customHeight="1">
      <x:c r="B74" s="14"/>
      <x:c r="C74" s="14"/>
      <x:c r="D74" s="14"/>
      <x:c r="E74" s="14"/>
      <x:c r="F74" s="14"/>
      <x:c r="G74" s="14"/>
      <x:c r="H74" s="10"/>
      <x:c r="I74" s="10"/>
      <x:c r="L74" t="str">
        <x:f>IF(B74="","",IF(OR(H74="",I74=""),"Não verificado",IF(I74=H74,"Sem mudança",IF(I74&gt;H74,"Aumentou","Diminuiu"))))</x:f>
      </x:c>
      <x:c r="M74" s="12"/>
      <x:c r="N74" s="12"/>
      <x:c r="O74" s="14"/>
      <x:c r="P74" t="str">
        <x:f>IF(B74="","",IF(OR(J74="Indisponível",K74="Quebrado"),"URGENTE: revisar",IF(OR(J74="Não verificado",K74="Não verificado"),"Verificar",IF(L74="Aumentou","Revisar preço","OK"))))</x:f>
      </x:c>
    </x:row>
    <x:row r="75" ht="29" customHeight="1">
      <x:c r="B75" s="14"/>
      <x:c r="C75" s="14"/>
      <x:c r="D75" s="14"/>
      <x:c r="E75" s="14"/>
      <x:c r="F75" s="14"/>
      <x:c r="G75" s="14"/>
      <x:c r="H75" s="10"/>
      <x:c r="I75" s="10"/>
      <x:c r="L75" t="str">
        <x:f>IF(B75="","",IF(OR(H75="",I75=""),"Não verificado",IF(I75=H75,"Sem mudança",IF(I75&gt;H75,"Aumentou","Diminuiu"))))</x:f>
      </x:c>
      <x:c r="M75" s="12"/>
      <x:c r="N75" s="12"/>
      <x:c r="O75" s="14"/>
      <x:c r="P75" t="str">
        <x:f>IF(B75="","",IF(OR(J75="Indisponível",K75="Quebrado"),"URGENTE: revisar",IF(OR(J75="Não verificado",K75="Não verificado"),"Verificar",IF(L75="Aumentou","Revisar preço","OK"))))</x:f>
      </x:c>
    </x:row>
    <x:row r="76" ht="29" customHeight="1">
      <x:c r="B76" s="14"/>
      <x:c r="C76" s="14"/>
      <x:c r="D76" s="14"/>
      <x:c r="E76" s="14"/>
      <x:c r="F76" s="14"/>
      <x:c r="G76" s="14"/>
      <x:c r="H76" s="10"/>
      <x:c r="I76" s="10"/>
      <x:c r="L76" t="str">
        <x:f>IF(B76="","",IF(OR(H76="",I76=""),"Não verificado",IF(I76=H76,"Sem mudança",IF(I76&gt;H76,"Aumentou","Diminuiu"))))</x:f>
      </x:c>
      <x:c r="M76" s="12"/>
      <x:c r="N76" s="12"/>
      <x:c r="O76" s="14"/>
      <x:c r="P76" t="str">
        <x:f>IF(B76="","",IF(OR(J76="Indisponível",K76="Quebrado"),"URGENTE: revisar",IF(OR(J76="Não verificado",K76="Não verificado"),"Verificar",IF(L76="Aumentou","Revisar preço","OK"))))</x:f>
      </x:c>
    </x:row>
    <x:row r="77" ht="29" customHeight="1">
      <x:c r="B77" s="14"/>
      <x:c r="C77" s="14"/>
      <x:c r="D77" s="14"/>
      <x:c r="E77" s="14"/>
      <x:c r="F77" s="14"/>
      <x:c r="G77" s="14"/>
      <x:c r="H77" s="10"/>
      <x:c r="I77" s="10"/>
      <x:c r="L77" t="str">
        <x:f>IF(B77="","",IF(OR(H77="",I77=""),"Não verificado",IF(I77=H77,"Sem mudança",IF(I77&gt;H77,"Aumentou","Diminuiu"))))</x:f>
      </x:c>
      <x:c r="M77" s="12"/>
      <x:c r="N77" s="12"/>
      <x:c r="O77" s="14"/>
      <x:c r="P77" t="str">
        <x:f>IF(B77="","",IF(OR(J77="Indisponível",K77="Quebrado"),"URGENTE: revisar",IF(OR(J77="Não verificado",K77="Não verificado"),"Verificar",IF(L77="Aumentou","Revisar preço","OK"))))</x:f>
      </x:c>
    </x:row>
    <x:row r="78" ht="29" customHeight="1">
      <x:c r="B78" s="14"/>
      <x:c r="C78" s="14"/>
      <x:c r="D78" s="14"/>
      <x:c r="E78" s="14"/>
      <x:c r="F78" s="14"/>
      <x:c r="G78" s="14"/>
      <x:c r="H78" s="10"/>
      <x:c r="I78" s="10"/>
      <x:c r="L78" t="str">
        <x:f>IF(B78="","",IF(OR(H78="",I78=""),"Não verificado",IF(I78=H78,"Sem mudança",IF(I78&gt;H78,"Aumentou","Diminuiu"))))</x:f>
      </x:c>
      <x:c r="M78" s="12"/>
      <x:c r="N78" s="12"/>
      <x:c r="O78" s="14"/>
      <x:c r="P78" t="str">
        <x:f>IF(B78="","",IF(OR(J78="Indisponível",K78="Quebrado"),"URGENTE: revisar",IF(OR(J78="Não verificado",K78="Não verificado"),"Verificar",IF(L78="Aumentou","Revisar preço","OK"))))</x:f>
      </x:c>
    </x:row>
    <x:row r="79" ht="29" customHeight="1">
      <x:c r="B79" s="14"/>
      <x:c r="C79" s="14"/>
      <x:c r="D79" s="14"/>
      <x:c r="E79" s="14"/>
      <x:c r="F79" s="14"/>
      <x:c r="G79" s="14"/>
      <x:c r="H79" s="10"/>
      <x:c r="I79" s="10"/>
      <x:c r="L79" t="str">
        <x:f>IF(B79="","",IF(OR(H79="",I79=""),"Não verificado",IF(I79=H79,"Sem mudança",IF(I79&gt;H79,"Aumentou","Diminuiu"))))</x:f>
      </x:c>
      <x:c r="M79" s="12"/>
      <x:c r="N79" s="12"/>
      <x:c r="O79" s="14"/>
      <x:c r="P79" t="str">
        <x:f>IF(B79="","",IF(OR(J79="Indisponível",K79="Quebrado"),"URGENTE: revisar",IF(OR(J79="Não verificado",K79="Não verificado"),"Verificar",IF(L79="Aumentou","Revisar preço","OK"))))</x:f>
      </x:c>
    </x:row>
    <x:row r="80" ht="29" customHeight="1">
      <x:c r="B80" s="14"/>
      <x:c r="C80" s="14"/>
      <x:c r="D80" s="14"/>
      <x:c r="E80" s="14"/>
      <x:c r="F80" s="14"/>
      <x:c r="G80" s="14"/>
      <x:c r="H80" s="10"/>
      <x:c r="I80" s="10"/>
      <x:c r="L80" t="str">
        <x:f>IF(B80="","",IF(OR(H80="",I80=""),"Não verificado",IF(I80=H80,"Sem mudança",IF(I80&gt;H80,"Aumentou","Diminuiu"))))</x:f>
      </x:c>
      <x:c r="M80" s="12"/>
      <x:c r="N80" s="12"/>
      <x:c r="O80" s="14"/>
      <x:c r="P80" t="str">
        <x:f>IF(B80="","",IF(OR(J80="Indisponível",K80="Quebrado"),"URGENTE: revisar",IF(OR(J80="Não verificado",K80="Não verificado"),"Verificar",IF(L80="Aumentou","Revisar preço","OK"))))</x:f>
      </x:c>
    </x:row>
    <x:row r="81" ht="29" customHeight="1">
      <x:c r="B81" s="14"/>
      <x:c r="C81" s="14"/>
      <x:c r="D81" s="14"/>
      <x:c r="E81" s="14"/>
      <x:c r="F81" s="14"/>
      <x:c r="G81" s="14"/>
      <x:c r="H81" s="10"/>
      <x:c r="I81" s="10"/>
      <x:c r="L81" t="str">
        <x:f>IF(B81="","",IF(OR(H81="",I81=""),"Não verificado",IF(I81=H81,"Sem mudança",IF(I81&gt;H81,"Aumentou","Diminuiu"))))</x:f>
      </x:c>
      <x:c r="M81" s="12"/>
      <x:c r="N81" s="12"/>
      <x:c r="O81" s="14"/>
      <x:c r="P81" t="str">
        <x:f>IF(B81="","",IF(OR(J81="Indisponível",K81="Quebrado"),"URGENTE: revisar",IF(OR(J81="Não verificado",K81="Não verificado"),"Verificar",IF(L81="Aumentou","Revisar preço","OK"))))</x:f>
      </x:c>
    </x:row>
    <x:row r="82" ht="29" customHeight="1">
      <x:c r="B82" s="14"/>
      <x:c r="C82" s="14"/>
      <x:c r="D82" s="14"/>
      <x:c r="E82" s="14"/>
      <x:c r="F82" s="14"/>
      <x:c r="G82" s="14"/>
      <x:c r="H82" s="10"/>
      <x:c r="I82" s="10"/>
      <x:c r="L82" t="str">
        <x:f>IF(B82="","",IF(OR(H82="",I82=""),"Não verificado",IF(I82=H82,"Sem mudança",IF(I82&gt;H82,"Aumentou","Diminuiu"))))</x:f>
      </x:c>
      <x:c r="M82" s="12"/>
      <x:c r="N82" s="12"/>
      <x:c r="O82" s="14"/>
      <x:c r="P82" t="str">
        <x:f>IF(B82="","",IF(OR(J82="Indisponível",K82="Quebrado"),"URGENTE: revisar",IF(OR(J82="Não verificado",K82="Não verificado"),"Verificar",IF(L82="Aumentou","Revisar preço","OK"))))</x:f>
      </x:c>
    </x:row>
    <x:row r="83" ht="29" customHeight="1">
      <x:c r="B83" s="14"/>
      <x:c r="C83" s="14"/>
      <x:c r="D83" s="14"/>
      <x:c r="E83" s="14"/>
      <x:c r="F83" s="14"/>
      <x:c r="G83" s="14"/>
      <x:c r="H83" s="10"/>
      <x:c r="I83" s="10"/>
      <x:c r="L83" t="str">
        <x:f>IF(B83="","",IF(OR(H83="",I83=""),"Não verificado",IF(I83=H83,"Sem mudança",IF(I83&gt;H83,"Aumentou","Diminuiu"))))</x:f>
      </x:c>
      <x:c r="M83" s="12"/>
      <x:c r="N83" s="12"/>
      <x:c r="O83" s="14"/>
      <x:c r="P83" t="str">
        <x:f>IF(B83="","",IF(OR(J83="Indisponível",K83="Quebrado"),"URGENTE: revisar",IF(OR(J83="Não verificado",K83="Não verificado"),"Verificar",IF(L83="Aumentou","Revisar preço","OK"))))</x:f>
      </x:c>
    </x:row>
    <x:row r="84" ht="29" customHeight="1">
      <x:c r="B84" s="14"/>
      <x:c r="C84" s="14"/>
      <x:c r="D84" s="14"/>
      <x:c r="E84" s="14"/>
      <x:c r="F84" s="14"/>
      <x:c r="G84" s="14"/>
      <x:c r="H84" s="10"/>
      <x:c r="I84" s="10"/>
      <x:c r="L84" t="str">
        <x:f>IF(B84="","",IF(OR(H84="",I84=""),"Não verificado",IF(I84=H84,"Sem mudança",IF(I84&gt;H84,"Aumentou","Diminuiu"))))</x:f>
      </x:c>
      <x:c r="M84" s="12"/>
      <x:c r="N84" s="12"/>
      <x:c r="O84" s="14"/>
      <x:c r="P84" t="str">
        <x:f>IF(B84="","",IF(OR(J84="Indisponível",K84="Quebrado"),"URGENTE: revisar",IF(OR(J84="Não verificado",K84="Não verificado"),"Verificar",IF(L84="Aumentou","Revisar preço","OK"))))</x:f>
      </x:c>
    </x:row>
    <x:row r="85" ht="29" customHeight="1">
      <x:c r="B85" s="14"/>
      <x:c r="C85" s="14"/>
      <x:c r="D85" s="14"/>
      <x:c r="E85" s="14"/>
      <x:c r="F85" s="14"/>
      <x:c r="G85" s="14"/>
      <x:c r="H85" s="10"/>
      <x:c r="I85" s="10"/>
      <x:c r="L85" t="str">
        <x:f>IF(B85="","",IF(OR(H85="",I85=""),"Não verificado",IF(I85=H85,"Sem mudança",IF(I85&gt;H85,"Aumentou","Diminuiu"))))</x:f>
      </x:c>
      <x:c r="M85" s="12"/>
      <x:c r="N85" s="12"/>
      <x:c r="O85" s="14"/>
      <x:c r="P85" t="str">
        <x:f>IF(B85="","",IF(OR(J85="Indisponível",K85="Quebrado"),"URGENTE: revisar",IF(OR(J85="Não verificado",K85="Não verificado"),"Verificar",IF(L85="Aumentou","Revisar preço","OK"))))</x:f>
      </x:c>
    </x:row>
    <x:row r="86" ht="29" customHeight="1">
      <x:c r="B86" s="14"/>
      <x:c r="C86" s="14"/>
      <x:c r="D86" s="14"/>
      <x:c r="E86" s="14"/>
      <x:c r="F86" s="14"/>
      <x:c r="G86" s="14"/>
      <x:c r="H86" s="10"/>
      <x:c r="I86" s="10"/>
      <x:c r="L86" t="str">
        <x:f>IF(B86="","",IF(OR(H86="",I86=""),"Não verificado",IF(I86=H86,"Sem mudança",IF(I86&gt;H86,"Aumentou","Diminuiu"))))</x:f>
      </x:c>
      <x:c r="M86" s="12"/>
      <x:c r="N86" s="12"/>
      <x:c r="O86" s="14"/>
      <x:c r="P86" t="str">
        <x:f>IF(B86="","",IF(OR(J86="Indisponível",K86="Quebrado"),"URGENTE: revisar",IF(OR(J86="Não verificado",K86="Não verificado"),"Verificar",IF(L86="Aumentou","Revisar preço","OK"))))</x:f>
      </x:c>
    </x:row>
    <x:row r="87" ht="29" customHeight="1">
      <x:c r="B87" s="14"/>
      <x:c r="C87" s="14"/>
      <x:c r="D87" s="14"/>
      <x:c r="E87" s="14"/>
      <x:c r="F87" s="14"/>
      <x:c r="G87" s="14"/>
      <x:c r="H87" s="10"/>
      <x:c r="I87" s="10"/>
      <x:c r="L87" t="str">
        <x:f>IF(B87="","",IF(OR(H87="",I87=""),"Não verificado",IF(I87=H87,"Sem mudança",IF(I87&gt;H87,"Aumentou","Diminuiu"))))</x:f>
      </x:c>
      <x:c r="M87" s="12"/>
      <x:c r="N87" s="12"/>
      <x:c r="O87" s="14"/>
      <x:c r="P87" t="str">
        <x:f>IF(B87="","",IF(OR(J87="Indisponível",K87="Quebrado"),"URGENTE: revisar",IF(OR(J87="Não verificado",K87="Não verificado"),"Verificar",IF(L87="Aumentou","Revisar preço","OK"))))</x:f>
      </x:c>
    </x:row>
    <x:row r="88" ht="29" customHeight="1">
      <x:c r="B88" s="14"/>
      <x:c r="C88" s="14"/>
      <x:c r="D88" s="14"/>
      <x:c r="E88" s="14"/>
      <x:c r="F88" s="14"/>
      <x:c r="G88" s="14"/>
      <x:c r="H88" s="10"/>
      <x:c r="I88" s="10"/>
      <x:c r="L88" t="str">
        <x:f>IF(B88="","",IF(OR(H88="",I88=""),"Não verificado",IF(I88=H88,"Sem mudança",IF(I88&gt;H88,"Aumentou","Diminuiu"))))</x:f>
      </x:c>
      <x:c r="M88" s="12"/>
      <x:c r="N88" s="12"/>
      <x:c r="O88" s="14"/>
      <x:c r="P88" t="str">
        <x:f>IF(B88="","",IF(OR(J88="Indisponível",K88="Quebrado"),"URGENTE: revisar",IF(OR(J88="Não verificado",K88="Não verificado"),"Verificar",IF(L88="Aumentou","Revisar preço","OK"))))</x:f>
      </x:c>
    </x:row>
    <x:row r="89" ht="29" customHeight="1">
      <x:c r="B89" s="14"/>
      <x:c r="C89" s="14"/>
      <x:c r="D89" s="14"/>
      <x:c r="E89" s="14"/>
      <x:c r="F89" s="14"/>
      <x:c r="G89" s="14"/>
      <x:c r="H89" s="10"/>
      <x:c r="I89" s="10"/>
      <x:c r="L89" t="str">
        <x:f>IF(B89="","",IF(OR(H89="",I89=""),"Não verificado",IF(I89=H89,"Sem mudança",IF(I89&gt;H89,"Aumentou","Diminuiu"))))</x:f>
      </x:c>
      <x:c r="M89" s="12"/>
      <x:c r="N89" s="12"/>
      <x:c r="O89" s="14"/>
      <x:c r="P89" t="str">
        <x:f>IF(B89="","",IF(OR(J89="Indisponível",K89="Quebrado"),"URGENTE: revisar",IF(OR(J89="Não verificado",K89="Não verificado"),"Verificar",IF(L89="Aumentou","Revisar preço","OK"))))</x:f>
      </x:c>
    </x:row>
    <x:row r="90" ht="29" customHeight="1">
      <x:c r="B90" s="14"/>
      <x:c r="C90" s="14"/>
      <x:c r="D90" s="14"/>
      <x:c r="E90" s="14"/>
      <x:c r="F90" s="14"/>
      <x:c r="G90" s="14"/>
      <x:c r="H90" s="10"/>
      <x:c r="I90" s="10"/>
      <x:c r="L90" t="str">
        <x:f>IF(B90="","",IF(OR(H90="",I90=""),"Não verificado",IF(I90=H90,"Sem mudança",IF(I90&gt;H90,"Aumentou","Diminuiu"))))</x:f>
      </x:c>
      <x:c r="M90" s="12"/>
      <x:c r="N90" s="12"/>
      <x:c r="O90" s="14"/>
      <x:c r="P90" t="str">
        <x:f>IF(B90="","",IF(OR(J90="Indisponível",K90="Quebrado"),"URGENTE: revisar",IF(OR(J90="Não verificado",K90="Não verificado"),"Verificar",IF(L90="Aumentou","Revisar preço","OK"))))</x:f>
      </x:c>
    </x:row>
    <x:row r="91" ht="29" customHeight="1">
      <x:c r="B91" s="14"/>
      <x:c r="C91" s="14"/>
      <x:c r="D91" s="14"/>
      <x:c r="E91" s="14"/>
      <x:c r="F91" s="14"/>
      <x:c r="G91" s="14"/>
      <x:c r="H91" s="10"/>
      <x:c r="I91" s="10"/>
      <x:c r="L91" t="str">
        <x:f>IF(B91="","",IF(OR(H91="",I91=""),"Não verificado",IF(I91=H91,"Sem mudança",IF(I91&gt;H91,"Aumentou","Diminuiu"))))</x:f>
      </x:c>
      <x:c r="M91" s="12"/>
      <x:c r="N91" s="12"/>
      <x:c r="O91" s="14"/>
      <x:c r="P91" t="str">
        <x:f>IF(B91="","",IF(OR(J91="Indisponível",K91="Quebrado"),"URGENTE: revisar",IF(OR(J91="Não verificado",K91="Não verificado"),"Verificar",IF(L91="Aumentou","Revisar preço","OK"))))</x:f>
      </x:c>
    </x:row>
    <x:row r="92" ht="29" customHeight="1">
      <x:c r="B92" s="14"/>
      <x:c r="C92" s="14"/>
      <x:c r="D92" s="14"/>
      <x:c r="E92" s="14"/>
      <x:c r="F92" s="14"/>
      <x:c r="G92" s="14"/>
      <x:c r="H92" s="10"/>
      <x:c r="I92" s="10"/>
      <x:c r="L92" t="str">
        <x:f>IF(B92="","",IF(OR(H92="",I92=""),"Não verificado",IF(I92=H92,"Sem mudança",IF(I92&gt;H92,"Aumentou","Diminuiu"))))</x:f>
      </x:c>
      <x:c r="M92" s="12"/>
      <x:c r="N92" s="12"/>
      <x:c r="O92" s="14"/>
      <x:c r="P92" t="str">
        <x:f>IF(B92="","",IF(OR(J92="Indisponível",K92="Quebrado"),"URGENTE: revisar",IF(OR(J92="Não verificado",K92="Não verificado"),"Verificar",IF(L92="Aumentou","Revisar preço","OK"))))</x:f>
      </x:c>
    </x:row>
    <x:row r="93" ht="29" customHeight="1">
      <x:c r="B93" s="14"/>
      <x:c r="C93" s="14"/>
      <x:c r="D93" s="14"/>
      <x:c r="E93" s="14"/>
      <x:c r="F93" s="14"/>
      <x:c r="G93" s="14"/>
      <x:c r="H93" s="10"/>
      <x:c r="I93" s="10"/>
      <x:c r="L93" t="str">
        <x:f>IF(B93="","",IF(OR(H93="",I93=""),"Não verificado",IF(I93=H93,"Sem mudança",IF(I93&gt;H93,"Aumentou","Diminuiu"))))</x:f>
      </x:c>
      <x:c r="M93" s="12"/>
      <x:c r="N93" s="12"/>
      <x:c r="O93" s="14"/>
      <x:c r="P93" t="str">
        <x:f>IF(B93="","",IF(OR(J93="Indisponível",K93="Quebrado"),"URGENTE: revisar",IF(OR(J93="Não verificado",K93="Não verificado"),"Verificar",IF(L93="Aumentou","Revisar preço","OK"))))</x:f>
      </x:c>
    </x:row>
    <x:row r="94" ht="29" customHeight="1">
      <x:c r="B94" s="14"/>
      <x:c r="C94" s="14"/>
      <x:c r="D94" s="14"/>
      <x:c r="E94" s="14"/>
      <x:c r="F94" s="14"/>
      <x:c r="G94" s="14"/>
      <x:c r="H94" s="10"/>
      <x:c r="I94" s="10"/>
      <x:c r="L94" t="str">
        <x:f>IF(B94="","",IF(OR(H94="",I94=""),"Não verificado",IF(I94=H94,"Sem mudança",IF(I94&gt;H94,"Aumentou","Diminuiu"))))</x:f>
      </x:c>
      <x:c r="M94" s="12"/>
      <x:c r="N94" s="12"/>
      <x:c r="O94" s="14"/>
      <x:c r="P94" t="str">
        <x:f>IF(B94="","",IF(OR(J94="Indisponível",K94="Quebrado"),"URGENTE: revisar",IF(OR(J94="Não verificado",K94="Não verificado"),"Verificar",IF(L94="Aumentou","Revisar preço","OK"))))</x:f>
      </x:c>
    </x:row>
    <x:row r="95" ht="29" customHeight="1">
      <x:c r="B95" s="14"/>
      <x:c r="C95" s="14"/>
      <x:c r="D95" s="14"/>
      <x:c r="E95" s="14"/>
      <x:c r="F95" s="14"/>
      <x:c r="G95" s="14"/>
      <x:c r="H95" s="10"/>
      <x:c r="I95" s="10"/>
      <x:c r="L95" t="str">
        <x:f>IF(B95="","",IF(OR(H95="",I95=""),"Não verificado",IF(I95=H95,"Sem mudança",IF(I95&gt;H95,"Aumentou","Diminuiu"))))</x:f>
      </x:c>
      <x:c r="M95" s="12"/>
      <x:c r="N95" s="12"/>
      <x:c r="O95" s="14"/>
      <x:c r="P95" t="str">
        <x:f>IF(B95="","",IF(OR(J95="Indisponível",K95="Quebrado"),"URGENTE: revisar",IF(OR(J95="Não verificado",K95="Não verificado"),"Verificar",IF(L95="Aumentou","Revisar preço","OK"))))</x:f>
      </x:c>
    </x:row>
    <x:row r="96" ht="29" customHeight="1">
      <x:c r="B96" s="14"/>
      <x:c r="C96" s="14"/>
      <x:c r="D96" s="14"/>
      <x:c r="E96" s="14"/>
      <x:c r="F96" s="14"/>
      <x:c r="G96" s="14"/>
      <x:c r="H96" s="10"/>
      <x:c r="I96" s="10"/>
      <x:c r="L96" t="str">
        <x:f>IF(B96="","",IF(OR(H96="",I96=""),"Não verificado",IF(I96=H96,"Sem mudança",IF(I96&gt;H96,"Aumentou","Diminuiu"))))</x:f>
      </x:c>
      <x:c r="M96" s="12"/>
      <x:c r="N96" s="12"/>
      <x:c r="O96" s="14"/>
      <x:c r="P96" t="str">
        <x:f>IF(B96="","",IF(OR(J96="Indisponível",K96="Quebrado"),"URGENTE: revisar",IF(OR(J96="Não verificado",K96="Não verificado"),"Verificar",IF(L96="Aumentou","Revisar preço","OK"))))</x:f>
      </x:c>
    </x:row>
    <x:row r="97" ht="29" customHeight="1">
      <x:c r="B97" s="14"/>
      <x:c r="C97" s="14"/>
      <x:c r="D97" s="14"/>
      <x:c r="E97" s="14"/>
      <x:c r="F97" s="14"/>
      <x:c r="G97" s="14"/>
      <x:c r="H97" s="10"/>
      <x:c r="I97" s="10"/>
      <x:c r="L97" t="str">
        <x:f>IF(B97="","",IF(OR(H97="",I97=""),"Não verificado",IF(I97=H97,"Sem mudança",IF(I97&gt;H97,"Aumentou","Diminuiu"))))</x:f>
      </x:c>
      <x:c r="M97" s="12"/>
      <x:c r="N97" s="12"/>
      <x:c r="O97" s="14"/>
      <x:c r="P97" t="str">
        <x:f>IF(B97="","",IF(OR(J97="Indisponível",K97="Quebrado"),"URGENTE: revisar",IF(OR(J97="Não verificado",K97="Não verificado"),"Verificar",IF(L97="Aumentou","Revisar preço","OK"))))</x:f>
      </x:c>
    </x:row>
    <x:row r="98" ht="29" customHeight="1">
      <x:c r="B98" s="14"/>
      <x:c r="C98" s="14"/>
      <x:c r="D98" s="14"/>
      <x:c r="E98" s="14"/>
      <x:c r="F98" s="14"/>
      <x:c r="G98" s="14"/>
      <x:c r="H98" s="10"/>
      <x:c r="I98" s="10"/>
      <x:c r="L98" t="str">
        <x:f>IF(B98="","",IF(OR(H98="",I98=""),"Não verificado",IF(I98=H98,"Sem mudança",IF(I98&gt;H98,"Aumentou","Diminuiu"))))</x:f>
      </x:c>
      <x:c r="M98" s="12"/>
      <x:c r="N98" s="12"/>
      <x:c r="O98" s="14"/>
      <x:c r="P98" t="str">
        <x:f>IF(B98="","",IF(OR(J98="Indisponível",K98="Quebrado"),"URGENTE: revisar",IF(OR(J98="Não verificado",K98="Não verificado"),"Verificar",IF(L98="Aumentou","Revisar preço","OK"))))</x:f>
      </x:c>
    </x:row>
    <x:row r="99" ht="29" customHeight="1">
      <x:c r="B99" s="14"/>
      <x:c r="C99" s="14"/>
      <x:c r="D99" s="14"/>
      <x:c r="E99" s="14"/>
      <x:c r="F99" s="14"/>
      <x:c r="G99" s="14"/>
      <x:c r="H99" s="10"/>
      <x:c r="I99" s="10"/>
      <x:c r="L99" t="str">
        <x:f>IF(B99="","",IF(OR(H99="",I99=""),"Não verificado",IF(I99=H99,"Sem mudança",IF(I99&gt;H99,"Aumentou","Diminuiu"))))</x:f>
      </x:c>
      <x:c r="M99" s="12"/>
      <x:c r="N99" s="12"/>
      <x:c r="O99" s="14"/>
      <x:c r="P99" t="str">
        <x:f>IF(B99="","",IF(OR(J99="Indisponível",K99="Quebrado"),"URGENTE: revisar",IF(OR(J99="Não verificado",K99="Não verificado"),"Verificar",IF(L99="Aumentou","Revisar preço","OK"))))</x:f>
      </x:c>
    </x:row>
    <x:row r="100" ht="29" customHeight="1">
      <x:c r="B100" s="14"/>
      <x:c r="C100" s="14"/>
      <x:c r="D100" s="14"/>
      <x:c r="E100" s="14"/>
      <x:c r="F100" s="14"/>
      <x:c r="G100" s="14"/>
      <x:c r="H100" s="10"/>
      <x:c r="I100" s="10"/>
      <x:c r="L100" t="str">
        <x:f>IF(B100="","",IF(OR(H100="",I100=""),"Não verificado",IF(I100=H100,"Sem mudança",IF(I100&gt;H100,"Aumentou","Diminuiu"))))</x:f>
      </x:c>
      <x:c r="M100" s="12"/>
      <x:c r="N100" s="12"/>
      <x:c r="O100" s="14"/>
      <x:c r="P100" t="str">
        <x:f>IF(B100="","",IF(OR(J100="Indisponível",K100="Quebrado"),"URGENTE: revisar",IF(OR(J100="Não verificado",K100="Não verificado"),"Verificar",IF(L100="Aumentou","Revisar preço","OK"))))</x:f>
      </x:c>
    </x:row>
    <x:row r="101" ht="29" customHeight="1">
      <x:c r="B101" s="14"/>
      <x:c r="C101" s="14"/>
      <x:c r="D101" s="14"/>
      <x:c r="E101" s="14"/>
      <x:c r="F101" s="14"/>
      <x:c r="G101" s="14"/>
      <x:c r="H101" s="10"/>
      <x:c r="I101" s="10"/>
      <x:c r="L101" t="str">
        <x:f>IF(B101="","",IF(OR(H101="",I101=""),"Não verificado",IF(I101=H101,"Sem mudança",IF(I101&gt;H101,"Aumentou","Diminuiu"))))</x:f>
      </x:c>
      <x:c r="M101" s="12"/>
      <x:c r="N101" s="12"/>
      <x:c r="O101" s="14"/>
      <x:c r="P101" t="str">
        <x:f>IF(B101="","",IF(OR(J101="Indisponível",K101="Quebrado"),"URGENTE: revisar",IF(OR(J101="Não verificado",K101="Não verificado"),"Verificar",IF(L101="Aumentou","Revisar preço","OK"))))</x:f>
      </x:c>
    </x:row>
    <x:row r="102" ht="29" customHeight="1">
      <x:c r="B102" s="14"/>
      <x:c r="C102" s="14"/>
      <x:c r="D102" s="14"/>
      <x:c r="E102" s="14"/>
      <x:c r="F102" s="14"/>
      <x:c r="G102" s="14"/>
      <x:c r="H102" s="10"/>
      <x:c r="I102" s="10"/>
      <x:c r="L102" t="str">
        <x:f>IF(B102="","",IF(OR(H102="",I102=""),"Não verificado",IF(I102=H102,"Sem mudança",IF(I102&gt;H102,"Aumentou","Diminuiu"))))</x:f>
      </x:c>
      <x:c r="M102" s="12"/>
      <x:c r="N102" s="12"/>
      <x:c r="O102" s="14"/>
      <x:c r="P102" t="str">
        <x:f>IF(B102="","",IF(OR(J102="Indisponível",K102="Quebrado"),"URGENTE: revisar",IF(OR(J102="Não verificado",K102="Não verificado"),"Verificar",IF(L102="Aumentou","Revisar preço","OK"))))</x:f>
      </x:c>
    </x:row>
  </x:sheetData>
  <x:conditionalFormatting sqref="P2:P102">
    <x:cfRule type="expression" dxfId="0" priority="1">
      <x:formula>P2="URGENTE: revisar"</x:formula>
    </x:cfRule>
  </x:conditionalFormatting>
  <x:conditionalFormatting sqref="J2:J102">
    <x:cfRule type="expression" dxfId="1" priority="2">
      <x:formula>J2="Indisponível"</x:formula>
    </x:cfRule>
  </x:conditionalFormatting>
  <x:dataValidations count="2">
    <x:dataValidation type="list" sqref="J2:J102">
      <x:formula1>"Não verificado,Disponível,Indisponível,Acesso bloqueado,Erro temporário"</x:formula1>
    </x:dataValidation>
    <x:dataValidation type="list" sqref="K2:K102">
      <x:formula1>"Não verificado,Funcionando,Quebrado,Redirecionado,Acesso 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7" hidden="0" customWidth="1"/>
    <x:col min="3" max="3" width="47" hidden="0" customWidth="1"/>
    <x:col min="4" max="4" width="22" hidden="0" customWidth="1"/>
    <x:col min="5" max="5" width="25" hidden="0" customWidth="1"/>
    <x:col min="6" max="6" width="25" hidden="0" customWidth="1"/>
    <x:col min="7" max="7" width="22" hidden="0" customWidth="1"/>
    <x:col min="8" max="8" width="50" hidden="0" customWidth="1"/>
    <x:col min="9" max="9" width="55" hidden="0" customWidth="1"/>
  </x:cols>
  <x:sheetData>
    <x:row r="1" ht="34" customHeight="1">
      <x:c r="A1" s="4" t="str">
        <x:v>Data da checagem</x:v>
      </x:c>
      <x:c r="B1" s="4" t="str">
        <x:v>ID produto</x:v>
      </x:c>
      <x:c r="C1" s="4" t="str">
        <x:v>Produto</x:v>
      </x:c>
      <x:c r="D1" s="4" t="str">
        <x:v>Tipo de alteração</x:v>
      </x:c>
      <x:c r="E1" s="4" t="str">
        <x:v>Valor anterior</x:v>
      </x:c>
      <x:c r="F1" s="4" t="str">
        <x:v>Valor novo</x:v>
      </x:c>
      <x:c r="G1" s="4" t="str">
        <x:v>Status</x:v>
      </x:c>
      <x:c r="H1" s="4" t="str">
        <x:v>Fonte / URL</x:v>
      </x:c>
      <x:c r="I1" s="4" t="str">
        <x:v>Observações</x:v>
      </x:c>
    </x:row>
    <x:row r="2">
      <x:c r="A2" s="12"/>
    </x:row>
    <x:row r="3">
      <x:c r="A3" s="12"/>
    </x:row>
    <x:row r="4">
      <x:c r="A4" s="12"/>
    </x:row>
    <x:row r="5">
      <x:c r="A5" s="12"/>
    </x:row>
    <x:row r="6">
      <x:c r="A6" s="12"/>
    </x:row>
    <x:row r="7">
      <x:c r="A7" s="12"/>
    </x:row>
    <x:row r="8">
      <x:c r="A8" s="12"/>
    </x:row>
    <x:row r="9">
      <x:c r="A9" s="12"/>
    </x:row>
    <x:row r="10">
      <x:c r="A10" s="12"/>
    </x:row>
    <x:row r="11">
      <x:c r="A11" s="12"/>
    </x:row>
    <x:row r="12">
      <x:c r="A12" s="12"/>
    </x:row>
    <x:row r="13">
      <x:c r="A13" s="12"/>
    </x:row>
    <x:row r="14">
      <x:c r="A14" s="12"/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  <x:row r="21">
      <x:c r="A21" s="12"/>
    </x:row>
    <x:row r="22">
      <x:c r="A22" s="12"/>
    </x:row>
    <x:row r="23">
      <x:c r="A23" s="12"/>
    </x:row>
    <x:row r="24">
      <x:c r="A24" s="12"/>
    </x:row>
    <x:row r="25">
      <x:c r="A25" s="12"/>
    </x:row>
    <x:row r="26">
      <x:c r="A26" s="12"/>
    </x:row>
    <x:row r="27">
      <x:c r="A27" s="12"/>
    </x:row>
    <x:row r="28">
      <x:c r="A28" s="12"/>
    </x:row>
    <x:row r="29">
      <x:c r="A29" s="12"/>
    </x:row>
    <x:row r="30">
      <x:c r="A30" s="12"/>
    </x:row>
    <x:row r="31">
      <x:c r="A31" s="12"/>
    </x:row>
    <x:row r="32">
      <x:c r="A32" s="12"/>
    </x:row>
    <x:row r="33">
      <x:c r="A33" s="12"/>
    </x:row>
    <x:row r="34">
      <x:c r="A34" s="12"/>
    </x:row>
    <x:row r="35">
      <x:c r="A35" s="12"/>
    </x:row>
    <x:row r="36">
      <x:c r="A36" s="12"/>
    </x:row>
    <x:row r="37">
      <x:c r="A37" s="12"/>
    </x:row>
    <x:row r="38">
      <x:c r="A38" s="12"/>
    </x:row>
    <x:row r="39">
      <x:c r="A39" s="12"/>
    </x:row>
    <x:row r="40">
      <x:c r="A40" s="12"/>
    </x:row>
    <x:row r="41">
      <x:c r="A41" s="12"/>
    </x:row>
    <x:row r="42">
      <x:c r="A42" s="12"/>
    </x:row>
    <x:row r="43">
      <x:c r="A43" s="12"/>
    </x:row>
    <x:row r="44">
      <x:c r="A44" s="12"/>
    </x:row>
    <x:row r="45">
      <x:c r="A45" s="12"/>
    </x:row>
    <x:row r="46">
      <x:c r="A46" s="12"/>
    </x:row>
    <x:row r="47">
      <x:c r="A47" s="12"/>
    </x:row>
    <x:row r="48">
      <x:c r="A48" s="12"/>
    </x:row>
    <x:row r="49">
      <x:c r="A49" s="12"/>
    </x:row>
    <x:row r="50">
      <x:c r="A50" s="12"/>
    </x:row>
    <x:row r="51">
      <x:c r="A51" s="12"/>
    </x:row>
    <x:row r="52">
      <x:c r="A52" s="12"/>
    </x:row>
    <x:row r="53">
      <x:c r="A53" s="12"/>
    </x:row>
    <x:row r="54">
      <x:c r="A54" s="12"/>
    </x:row>
    <x:row r="55">
      <x:c r="A55" s="12"/>
    </x:row>
    <x:row r="56">
      <x:c r="A56" s="12"/>
    </x:row>
    <x:row r="57">
      <x:c r="A57" s="12"/>
    </x:row>
    <x:row r="58">
      <x:c r="A58" s="12"/>
    </x:row>
    <x:row r="59">
      <x:c r="A59" s="12"/>
    </x:row>
    <x:row r="60">
      <x:c r="A60" s="12"/>
    </x:row>
    <x:row r="61">
      <x:c r="A61" s="12"/>
    </x:row>
    <x:row r="62">
      <x:c r="A62" s="12"/>
    </x:row>
    <x:row r="63">
      <x:c r="A63" s="12"/>
    </x:row>
    <x:row r="64">
      <x:c r="A64" s="12"/>
    </x:row>
    <x:row r="65">
      <x:c r="A65" s="12"/>
    </x:row>
    <x:row r="66">
      <x:c r="A66" s="12"/>
    </x:row>
    <x:row r="67">
      <x:c r="A67" s="12"/>
    </x:row>
    <x:row r="68">
      <x:c r="A68" s="12"/>
    </x:row>
    <x:row r="69">
      <x:c r="A69" s="12"/>
    </x:row>
    <x:row r="70">
      <x:c r="A70" s="12"/>
    </x:row>
    <x:row r="71">
      <x:c r="A71" s="12"/>
    </x:row>
    <x:row r="72">
      <x:c r="A72" s="12"/>
    </x:row>
    <x:row r="73">
      <x:c r="A73" s="12"/>
    </x:row>
    <x:row r="74">
      <x:c r="A74" s="12"/>
    </x:row>
    <x:row r="75">
      <x:c r="A75" s="12"/>
    </x:row>
    <x:row r="76">
      <x:c r="A76" s="12"/>
    </x:row>
    <x:row r="77">
      <x:c r="A77" s="12"/>
    </x:row>
    <x:row r="78">
      <x:c r="A78" s="12"/>
    </x:row>
    <x:row r="79">
      <x:c r="A79" s="12"/>
    </x:row>
    <x:row r="80">
      <x:c r="A80" s="12"/>
    </x:row>
    <x:row r="81">
      <x:c r="A81" s="12"/>
    </x:row>
    <x:row r="82">
      <x:c r="A82" s="12"/>
    </x:row>
    <x:row r="83">
      <x:c r="A83" s="12"/>
    </x:row>
    <x:row r="84">
      <x:c r="A84" s="12"/>
    </x:row>
    <x:row r="85">
      <x:c r="A85" s="12"/>
    </x:row>
    <x:row r="86">
      <x:c r="A86" s="12"/>
    </x:row>
    <x:row r="87">
      <x:c r="A87" s="12"/>
    </x:row>
    <x:row r="88">
      <x:c r="A88" s="12"/>
    </x:row>
    <x:row r="89">
      <x:c r="A89" s="12"/>
    </x:row>
    <x:row r="90">
      <x:c r="A90" s="12"/>
    </x:row>
    <x:row r="91">
      <x:c r="A91" s="12"/>
    </x:row>
    <x:row r="92">
      <x:c r="A92" s="12"/>
    </x:row>
    <x:row r="93">
      <x:c r="A93" s="12"/>
    </x:row>
    <x:row r="94">
      <x:c r="A94" s="12"/>
    </x:row>
    <x:row r="95">
      <x:c r="A95" s="12"/>
    </x:row>
    <x:row r="96">
      <x:c r="A96" s="12"/>
    </x:row>
    <x:row r="97">
      <x:c r="A97" s="12"/>
    </x:row>
    <x:row r="98">
      <x:c r="A98" s="12"/>
    </x:row>
    <x:row r="99">
      <x:c r="A99" s="12"/>
    </x:row>
    <x:row r="100">
      <x:c r="A100" s="12"/>
    </x:row>
    <x:row r="101">
      <x:c r="A101" s="12"/>
    </x:row>
    <x:row r="102">
      <x:c r="A102" s="12"/>
    </x:row>
    <x:row r="103">
      <x:c r="A103" s="12"/>
    </x:row>
    <x:row r="104">
      <x:c r="A104" s="12"/>
    </x:row>
    <x:row r="105">
      <x:c r="A105" s="12"/>
    </x:row>
    <x:row r="106">
      <x:c r="A106" s="12"/>
    </x:row>
    <x:row r="107">
      <x:c r="A107" s="12"/>
    </x:row>
    <x:row r="108">
      <x:c r="A108" s="12"/>
    </x:row>
    <x:row r="109">
      <x:c r="A109" s="12"/>
    </x:row>
    <x:row r="110">
      <x:c r="A110" s="12"/>
    </x:row>
    <x:row r="111">
      <x:c r="A111" s="12"/>
    </x:row>
    <x:row r="112">
      <x:c r="A112" s="12"/>
    </x:row>
    <x:row r="113">
      <x:c r="A113" s="12"/>
    </x:row>
    <x:row r="114">
      <x:c r="A114" s="12"/>
    </x:row>
    <x:row r="115">
      <x:c r="A115" s="12"/>
    </x:row>
    <x:row r="116">
      <x:c r="A116" s="12"/>
    </x:row>
    <x:row r="117">
      <x:c r="A117" s="12"/>
    </x:row>
    <x:row r="118">
      <x:c r="A118" s="12"/>
    </x:row>
    <x:row r="119">
      <x:c r="A119" s="12"/>
    </x:row>
    <x:row r="120">
      <x:c r="A120" s="12"/>
    </x:row>
    <x:row r="121">
      <x:c r="A121" s="12"/>
    </x:row>
    <x:row r="122">
      <x:c r="A122" s="12"/>
    </x:row>
    <x:row r="123">
      <x:c r="A123" s="12"/>
    </x:row>
    <x:row r="124">
      <x:c r="A124" s="12"/>
    </x:row>
    <x:row r="125">
      <x:c r="A125" s="12"/>
    </x:row>
    <x:row r="126">
      <x:c r="A126" s="12"/>
    </x:row>
    <x:row r="127">
      <x:c r="A127" s="12"/>
    </x:row>
    <x:row r="128">
      <x:c r="A128" s="12"/>
    </x:row>
    <x:row r="129">
      <x:c r="A129" s="12"/>
    </x:row>
    <x:row r="130">
      <x:c r="A130" s="12"/>
    </x:row>
    <x:row r="131">
      <x:c r="A131" s="12"/>
    </x:row>
    <x:row r="132">
      <x:c r="A132" s="12"/>
    </x:row>
    <x:row r="133">
      <x:c r="A133" s="12"/>
    </x:row>
    <x:row r="134">
      <x:c r="A134" s="12"/>
    </x:row>
    <x:row r="135">
      <x:c r="A135" s="12"/>
    </x:row>
    <x:row r="136">
      <x:c r="A136" s="12"/>
    </x:row>
    <x:row r="137">
      <x:c r="A137" s="12"/>
    </x:row>
    <x:row r="138">
      <x:c r="A138" s="12"/>
    </x:row>
    <x:row r="139">
      <x:c r="A139" s="12"/>
    </x:row>
    <x:row r="140">
      <x:c r="A140" s="12"/>
    </x:row>
    <x:row r="141">
      <x:c r="A141" s="12"/>
    </x:row>
    <x:row r="142">
      <x:c r="A142" s="12"/>
    </x:row>
    <x:row r="143">
      <x:c r="A143" s="12"/>
    </x:row>
    <x:row r="144">
      <x:c r="A144" s="12"/>
    </x:row>
    <x:row r="145">
      <x:c r="A145" s="12"/>
    </x:row>
    <x:row r="146">
      <x:c r="A146" s="12"/>
    </x:row>
    <x:row r="147">
      <x:c r="A147" s="12"/>
    </x:row>
    <x:row r="148">
      <x:c r="A148" s="12"/>
    </x:row>
    <x:row r="149">
      <x:c r="A149" s="12"/>
    </x:row>
    <x:row r="150">
      <x:c r="A150" s="12"/>
    </x:row>
    <x:row r="151">
      <x:c r="A151" s="12"/>
    </x:row>
    <x:row r="152">
      <x:c r="A152" s="12"/>
    </x:row>
    <x:row r="153">
      <x:c r="A153" s="12"/>
    </x:row>
    <x:row r="154">
      <x:c r="A154" s="12"/>
    </x:row>
    <x:row r="155">
      <x:c r="A155" s="12"/>
    </x:row>
    <x:row r="156">
      <x:c r="A156" s="12"/>
    </x:row>
    <x:row r="157">
      <x:c r="A157" s="12"/>
    </x:row>
    <x:row r="158">
      <x:c r="A158" s="12"/>
    </x:row>
    <x:row r="159">
      <x:c r="A159" s="12"/>
    </x:row>
    <x:row r="160">
      <x:c r="A160" s="12"/>
    </x:row>
    <x:row r="161">
      <x:c r="A161" s="12"/>
    </x:row>
    <x:row r="162">
      <x:c r="A162" s="12"/>
    </x:row>
    <x:row r="163">
      <x:c r="A163" s="12"/>
    </x:row>
    <x:row r="164">
      <x:c r="A164" s="12"/>
    </x:row>
    <x:row r="165">
      <x:c r="A165" s="12"/>
    </x:row>
    <x:row r="166">
      <x:c r="A166" s="12"/>
    </x:row>
    <x:row r="167">
      <x:c r="A167" s="12"/>
    </x:row>
    <x:row r="168">
      <x:c r="A168" s="12"/>
    </x:row>
    <x:row r="169">
      <x:c r="A169" s="12"/>
    </x:row>
    <x:row r="170">
      <x:c r="A170" s="12"/>
    </x:row>
    <x:row r="171">
      <x:c r="A171" s="12"/>
    </x:row>
    <x:row r="172">
      <x:c r="A172" s="12"/>
    </x:row>
    <x:row r="173">
      <x:c r="A173" s="12"/>
    </x:row>
    <x:row r="174">
      <x:c r="A174" s="12"/>
    </x:row>
    <x:row r="175">
      <x:c r="A175" s="12"/>
    </x:row>
    <x:row r="176">
      <x:c r="A176" s="12"/>
    </x:row>
    <x:row r="177">
      <x:c r="A177" s="12"/>
    </x:row>
    <x:row r="178">
      <x:c r="A178" s="12"/>
    </x:row>
    <x:row r="179">
      <x:c r="A179" s="12"/>
    </x:row>
    <x:row r="180">
      <x:c r="A180" s="12"/>
    </x:row>
    <x:row r="181">
      <x:c r="A181" s="12"/>
    </x:row>
    <x:row r="182">
      <x:c r="A182" s="12"/>
    </x:row>
    <x:row r="183">
      <x:c r="A183" s="12"/>
    </x:row>
    <x:row r="184">
      <x:c r="A184" s="12"/>
    </x:row>
    <x:row r="185">
      <x:c r="A185" s="12"/>
    </x:row>
    <x:row r="186">
      <x:c r="A186" s="12"/>
    </x:row>
    <x:row r="187">
      <x:c r="A187" s="12"/>
    </x:row>
    <x:row r="188">
      <x:c r="A188" s="12"/>
    </x:row>
    <x:row r="189">
      <x:c r="A189" s="12"/>
    </x:row>
    <x:row r="190">
      <x:c r="A190" s="12"/>
    </x:row>
    <x:row r="191">
      <x:c r="A191" s="12"/>
    </x:row>
    <x:row r="192">
      <x:c r="A192" s="12"/>
    </x:row>
    <x:row r="193">
      <x:c r="A193" s="12"/>
    </x:row>
    <x:row r="194">
      <x:c r="A194" s="12"/>
    </x:row>
    <x:row r="195">
      <x:c r="A195" s="12"/>
    </x:row>
    <x:row r="196">
      <x:c r="A196" s="12"/>
    </x:row>
    <x:row r="197">
      <x:c r="A197" s="12"/>
    </x:row>
    <x:row r="198">
      <x:c r="A198" s="12"/>
    </x:row>
    <x:row r="199">
      <x:c r="A199" s="12"/>
    </x:row>
    <x:row r="200">
      <x:c r="A200" s="12"/>
    </x:row>
    <x:row r="201">
      <x:c r="A201" s="12"/>
    </x:row>
    <x:row r="202">
      <x:c r="A202" s="12"/>
    </x:row>
  </x:sheetData>
  <x:dataValidations count="1">
    <x:dataValidation type="list" sqref="D2:D202">
      <x:formula1>"Preço,Anúncio,Link,Estoque,Título,Frete,Vídeo,Outro"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10" hidden="0" customWidth="1"/>
  </x:cols>
  <x:sheetData>
    <x:row r="1" ht="43" customHeight="1">
      <x:c r="A1" s="28" t="str">
        <x:v>COMO USAR • CONTROLE DE LINKS</x:v>
      </x:c>
      <x:c r="B1" s="28"/>
      <x:c r="C1" s="28"/>
      <x:c r="D1" s="28"/>
      <x:c r="E1" s="28"/>
      <x:c r="F1" s="28"/>
    </x:row>
    <x:row r="3" ht="56" customHeight="1">
      <x:c r="A3" s="31" t="str">
        <x:v>1. Cadastro</x:v>
      </x:c>
      <x:c r="B3" s="14" t="str">
        <x:v>Insira um produto por linha em Afiliados. Use um ID único. A lavadora já está pré-cadastrada.</x:v>
      </x:c>
    </x:row>
    <x:row r="4" ht="56" customHeight="1">
      <x:c r="A4" s="31" t="str">
        <x:v>2. Links</x:v>
      </x:c>
      <x:c r="B4" s="14" t="str">
        <x:v>Guarde tanto o link de afiliada quanto, se possível, a URL original do anúncio. Links encurtados podem bloquear verificações automáticas.</x:v>
      </x:c>
    </x:row>
    <x:row r="5" ht="56" customHeight="1">
      <x:c r="A5" s="31" t="str">
        <x:v>3. Verificação</x:v>
      </x:c>
      <x:c r="B5" s="14" t="str">
        <x:v>Atualize preço verificado, status do anúncio e do link, última checagem e observações. Não marque como disponível sem teste.</x:v>
      </x:c>
    </x:row>
    <x:row r="6" ht="56" customHeight="1">
      <x:c r="A6" s="31" t="str">
        <x:v>4. Histórico</x:v>
      </x:c>
      <x:c r="B6" s="14" t="str">
        <x:v>Quando houver mudança, registre data, produto, tipo, valor anterior, valor novo e fonte na aba Historico.</x:v>
      </x:c>
    </x:row>
    <x:row r="7" ht="56" customHeight="1">
      <x:c r="A7" s="31" t="str">
        <x:v>5. Automação diária</x:v>
      </x:c>
      <x:c r="B7" s="14" t="str">
        <x:v>Uma planilha XLSX fechada não acessa sites sozinha. Para automação, use script agendado (GitHub Actions) ou integração com API permitida, salvando resultados em Excel/Google Sheets.</x:v>
      </x:c>
    </x:row>
    <x:row r="8" ht="56" customHeight="1">
      <x:c r="A8" s="31" t="str">
        <x:v>6. Limitações Shopee</x:v>
      </x:c>
      <x:c r="B8" s="14" t="str">
        <x:v>Preço, estoque, frete e promoções podem variar por CEP, login e cupons. Captchas, bloqueios e alterações do site podem impedir checagem. HTTP 200 não prova disponibilidade do anúncio.</x:v>
      </x:c>
    </x:row>
    <x:row r="9" ht="56" customHeight="1">
      <x:c r="A9" s="31" t="str">
        <x:v>7. Cuidados</x:v>
      </x:c>
      <x:c r="B9" s="14" t="str">
        <x:v>Nunca coloque tokens, cookies ou senhas na planilha. Mantenha uma cópia de segurança e revise alertas antes de atualizar seus anúncios.</x:v>
      </x:c>
    </x:row>
    <x:row r="10" ht="56" customHeight="1">
      <x:c r="A10" s="31" t="str">
        <x:v>8. Campos automáticos</x:v>
      </x:c>
      <x:c r="B10" s="14" t="str">
        <x:v>Mudança de preço e Ação necessária são calculados automaticamente a partir dos dados preenchidos.</x:v>
      </x:c>
    </x:row>
  </x:sheetData>
  <x:mergeCells>
    <x:mergeCell ref="A1:F1"/>
  </x:mergeCells>
  <x:pageMargins left="0.7" right="0.7" top="0.75" bottom="0.75" header="0.3" footer="0.3"/>
</x:worksheet>
</file>